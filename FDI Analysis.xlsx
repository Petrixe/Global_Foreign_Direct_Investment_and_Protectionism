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202300"/>
  <mc:AlternateContent xmlns:mc="http://schemas.openxmlformats.org/markup-compatibility/2006">
    <mc:Choice Requires="x15">
      <x15ac:absPath xmlns:x15ac="http://schemas.microsoft.com/office/spreadsheetml/2010/11/ac" url="https://uekkrakowpl-my.sharepoint.com/personal/230489_student_uek_krakow_pl/Documents/"/>
    </mc:Choice>
  </mc:AlternateContent>
  <xr:revisionPtr revIDLastSave="2727" documentId="8_{1D9FD718-B6FA-594B-A665-8E83F1D96487}" xr6:coauthVersionLast="47" xr6:coauthVersionMax="47" xr10:uidLastSave="{F0968984-D5A2-B041-A0B3-1C960A801FE0}"/>
  <bookViews>
    <workbookView xWindow="0" yWindow="720" windowWidth="29400" windowHeight="18400" xr2:uid="{A697831D-43BE-E140-B504-345A8C41F810}"/>
  </bookViews>
  <sheets>
    <sheet name="Dashboard" sheetId="12" r:id="rId1"/>
    <sheet name="pivot" sheetId="10" state="hidden" r:id="rId2"/>
    <sheet name="Sheet1" sheetId="1" state="hidden" r:id="rId3"/>
    <sheet name="Data" sheetId="2" state="hidden" r:id="rId4"/>
    <sheet name="Data second" sheetId="13" state="hidden" r:id="rId5"/>
    <sheet name="Data third" sheetId="15" state="hidden" r:id="rId6"/>
    <sheet name="Main Data" sheetId="11" state="hidden" r:id="rId7"/>
  </sheets>
  <definedNames>
    <definedName name="Slicer_Index_type">#N/A</definedName>
    <definedName name="Slicer_Index_type1">#N/A</definedName>
    <definedName name="Slicer_Year">#N/A</definedName>
    <definedName name="Slicer_Year1">#N/A</definedName>
    <definedName name="Slicer_Year2">#N/A</definedName>
  </definedNames>
  <calcPr calcId="191029"/>
  <pivotCaches>
    <pivotCache cacheId="8" r:id="rId8"/>
    <pivotCache cacheId="16" r:id="rId9"/>
    <pivotCache cacheId="26"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1" i="11" l="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113"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114" i="11" l="1"/>
  <c r="D115" i="11" s="1"/>
  <c r="D116" i="11" s="1"/>
  <c r="D117" i="11" s="1"/>
  <c r="D118" i="11" s="1"/>
  <c r="D119" i="11" s="1"/>
  <c r="D120" i="11" s="1"/>
  <c r="D121" i="11" s="1"/>
  <c r="D122" i="11" s="1"/>
  <c r="D123" i="11" s="1"/>
  <c r="D124" i="11" s="1"/>
  <c r="D125" i="11" s="1"/>
  <c r="D126" i="11" s="1"/>
  <c r="D127" i="11" s="1"/>
  <c r="D128" i="11" s="1"/>
  <c r="D129" i="11" s="1"/>
  <c r="D130" i="11" s="1"/>
  <c r="D131" i="11" s="1"/>
  <c r="D132" i="11" s="1"/>
  <c r="D133" i="11" s="1"/>
  <c r="D134" i="11" s="1"/>
  <c r="D135" i="11" s="1"/>
  <c r="D136" i="11" s="1"/>
  <c r="D137" i="11" s="1"/>
  <c r="D138" i="11" s="1"/>
  <c r="D139" i="11" s="1"/>
  <c r="D140" i="11" s="1"/>
  <c r="D141" i="11" s="1"/>
  <c r="D142" i="11" s="1"/>
  <c r="D143" i="11" s="1"/>
  <c r="D144" i="11" s="1"/>
  <c r="D145" i="11" s="1"/>
  <c r="D146" i="11" s="1"/>
  <c r="D147" i="11" s="1"/>
  <c r="D148" i="11" s="1"/>
  <c r="D149" i="11" s="1"/>
  <c r="D150" i="11" s="1"/>
  <c r="D151" i="11" s="1"/>
  <c r="D152" i="11" s="1"/>
  <c r="D153" i="11" s="1"/>
  <c r="D154" i="11" s="1"/>
  <c r="D155" i="11" s="1"/>
  <c r="D156" i="11" s="1"/>
  <c r="D157" i="11" s="1"/>
  <c r="D158" i="11" s="1"/>
  <c r="D159" i="11" s="1"/>
  <c r="D160" i="11" s="1"/>
  <c r="D161" i="11" s="1"/>
  <c r="D162" i="11" s="1"/>
  <c r="D163" i="11" s="1"/>
  <c r="D164" i="11" s="1"/>
  <c r="D165" i="11" s="1"/>
  <c r="D166" i="11" s="1"/>
</calcChain>
</file>

<file path=xl/sharedStrings.xml><?xml version="1.0" encoding="utf-8"?>
<sst xmlns="http://schemas.openxmlformats.org/spreadsheetml/2006/main" count="2600" uniqueCount="617">
  <si>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</si>
  <si>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</si>
  <si>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</si>
  <si>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</si>
  <si>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</si>
  <si>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</si>
  <si>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</si>
  <si>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</si>
  <si>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</si>
  <si>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</si>
  <si>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</si>
  <si>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</si>
  <si>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</si>
  <si>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</si>
  <si>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</si>
  <si>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</si>
  <si>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</si>
  <si>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</si>
  <si>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</si>
  <si>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</si>
  <si>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</si>
  <si>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</si>
  <si>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</si>
  <si>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</si>
  <si>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</si>
  <si>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</si>
  <si>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</si>
  <si>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</si>
  <si>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</si>
  <si>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</si>
  <si>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</si>
  <si>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</si>
  <si>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</si>
  <si>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</si>
  <si>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</si>
  <si>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</si>
  <si>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</si>
  <si>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</si>
  <si>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</si>
  <si>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</si>
  <si>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</si>
  <si>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</si>
  <si>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</si>
  <si>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</si>
  <si>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</si>
  <si>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</si>
  <si>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</si>
  <si>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</si>
  <si>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</si>
  <si>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</si>
  <si>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</si>
  <si>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</si>
  <si>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</si>
  <si>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</si>
  <si>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</si>
  <si>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</si>
  <si>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</si>
  <si>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</si>
  <si>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</si>
  <si>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</si>
  <si>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</si>
  <si>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</si>
  <si>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</si>
  <si>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</si>
  <si>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</si>
  <si>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</si>
  <si>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</si>
  <si>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</si>
  <si>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</si>
  <si>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Aruba</t>
  </si>
  <si>
    <t>ABW</t>
  </si>
  <si>
    <t>Inflation, GDP deflator (annual %)</t>
  </si>
  <si>
    <t>NY.GDP.DEFL.KD.ZG</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</si>
  <si>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</si>
  <si>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</si>
  <si>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</si>
  <si>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</si>
  <si>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</si>
  <si>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</si>
  <si>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</si>
  <si>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</si>
  <si>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</si>
  <si>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</si>
  <si>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</si>
  <si>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</si>
  <si>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</si>
  <si>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</si>
  <si>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</si>
  <si>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</si>
  <si>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</si>
  <si>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</si>
  <si>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</si>
  <si>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</si>
  <si>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</si>
  <si>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</si>
  <si>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</si>
  <si>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</si>
  <si>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</si>
  <si>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</si>
  <si>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</si>
  <si>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</si>
  <si>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</si>
  <si>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</si>
  <si>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</si>
  <si>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</si>
  <si>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</si>
  <si>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</si>
  <si>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</si>
  <si>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</si>
  <si>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</si>
  <si>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</si>
  <si>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</si>
  <si>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</si>
  <si>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</si>
  <si>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</si>
  <si>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</si>
  <si>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</si>
  <si>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</si>
  <si>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</si>
  <si>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</si>
  <si>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</si>
  <si>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</si>
  <si>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</si>
  <si>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</si>
  <si>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</si>
  <si>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</si>
  <si>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</si>
  <si>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</si>
  <si>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</si>
  <si>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</si>
  <si>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</si>
  <si>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</si>
  <si>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</si>
  <si>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</si>
  <si>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</si>
  <si>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</si>
  <si>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</si>
  <si>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</si>
  <si>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</si>
  <si>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</si>
  <si>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</si>
  <si>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</si>
  <si>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</si>
  <si>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</si>
  <si>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</si>
  <si>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</si>
  <si>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</si>
  <si>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</si>
  <si>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</si>
  <si>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</si>
  <si>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</si>
  <si>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</si>
  <si>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</si>
  <si>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</si>
  <si>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</si>
  <si>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</si>
  <si>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</si>
  <si>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</si>
  <si>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</si>
  <si>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</si>
  <si>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</si>
  <si>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</si>
  <si>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</si>
  <si>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</si>
  <si>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</si>
  <si>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</si>
  <si>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</si>
  <si>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</si>
  <si>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</si>
  <si>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</si>
  <si>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</si>
  <si>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</si>
  <si>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</si>
  <si>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</si>
  <si>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</si>
  <si>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</si>
  <si>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</si>
  <si>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</si>
  <si>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</si>
  <si>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</si>
  <si>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</si>
  <si>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</si>
  <si>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</si>
  <si>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</si>
  <si>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</si>
  <si>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</si>
  <si>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</si>
  <si>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</si>
  <si>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</si>
  <si>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</si>
  <si>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</si>
  <si>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</si>
  <si>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</si>
  <si>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</si>
  <si>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</si>
  <si>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</si>
  <si>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</si>
  <si>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</si>
  <si>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</si>
  <si>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</si>
  <si>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</si>
  <si>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</si>
  <si>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</si>
  <si>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</si>
  <si>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</si>
  <si>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</si>
  <si>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</si>
  <si>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</si>
  <si>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</si>
  <si>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</si>
  <si>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</si>
  <si>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</si>
  <si>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</si>
  <si>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</si>
  <si>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</si>
  <si>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</si>
  <si>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</si>
  <si>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</si>
  <si>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</si>
  <si>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</si>
  <si>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</si>
  <si>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</si>
  <si>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</si>
  <si>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</si>
  <si>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</si>
  <si>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</si>
  <si>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</si>
  <si>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</si>
  <si>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</si>
  <si>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</si>
  <si>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</si>
  <si>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</si>
  <si>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</si>
  <si>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</si>
  <si>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</si>
  <si>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</si>
  <si>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</si>
  <si>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</si>
  <si>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</si>
  <si>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</si>
  <si>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</si>
  <si>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</si>
  <si>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</si>
  <si>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</si>
  <si>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</si>
  <si>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</si>
  <si>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</si>
  <si>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</si>
  <si>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</si>
  <si>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</si>
  <si>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</si>
  <si>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</si>
  <si>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</si>
  <si>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</si>
  <si>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</si>
  <si>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</si>
  <si>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</si>
  <si>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</si>
  <si>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</si>
  <si>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</si>
  <si>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</si>
  <si>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</si>
  <si>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</si>
  <si>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</si>
  <si>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</si>
  <si>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</si>
  <si>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</si>
  <si>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</si>
  <si>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</si>
  <si>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</si>
  <si>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</si>
  <si>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</si>
  <si>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</si>
  <si>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</si>
  <si>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</si>
  <si>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</si>
  <si>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</si>
  <si>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</si>
  <si>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</si>
  <si>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</si>
  <si>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</si>
  <si>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</si>
  <si>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</si>
  <si>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</si>
  <si>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</si>
  <si>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</si>
  <si>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</si>
  <si>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</si>
  <si>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</si>
  <si>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</si>
  <si>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</si>
  <si>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</si>
  <si>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</si>
  <si>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</si>
  <si>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</si>
  <si>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</si>
  <si>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</si>
  <si>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</si>
  <si>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</si>
  <si>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</si>
  <si>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</si>
  <si>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</si>
  <si>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</si>
  <si>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</si>
  <si>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</si>
  <si>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</si>
  <si>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</si>
  <si>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</si>
  <si>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</si>
  <si>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</si>
  <si>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</si>
  <si>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</si>
  <si>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</si>
  <si>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</si>
  <si>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</si>
  <si>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</si>
  <si>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</si>
  <si>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</si>
  <si>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</si>
  <si>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</si>
  <si>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</si>
  <si>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</si>
  <si>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</si>
  <si>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</si>
  <si>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</si>
  <si>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</si>
  <si>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</si>
  <si>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</si>
  <si>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</si>
  <si>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</si>
  <si>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</si>
  <si>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</si>
  <si>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</si>
  <si>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</si>
  <si>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</si>
  <si>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</si>
  <si>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</si>
  <si>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</si>
  <si>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</si>
  <si>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</si>
  <si>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</si>
  <si>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</si>
  <si>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</si>
  <si>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</si>
  <si>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</si>
  <si>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</si>
  <si>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</si>
  <si>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</si>
  <si>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</si>
  <si>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</si>
  <si>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</si>
  <si>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</si>
  <si>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</si>
  <si>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</si>
  <si>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</si>
  <si>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</si>
  <si>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</si>
  <si>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</si>
  <si>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</si>
  <si>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</si>
  <si>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</si>
  <si>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</si>
  <si>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</si>
  <si>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</si>
  <si>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</si>
  <si>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</si>
  <si>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</si>
  <si>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</si>
  <si>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</si>
  <si>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</si>
  <si>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</si>
  <si>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</si>
  <si>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</si>
  <si>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</si>
  <si>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</si>
  <si>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</si>
  <si>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</si>
  <si>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</si>
  <si>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</si>
  <si>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</si>
  <si>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</si>
  <si>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</si>
  <si>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</si>
  <si>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</si>
  <si>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</si>
  <si>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</si>
  <si>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</si>
  <si>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</si>
  <si>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</si>
  <si>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</si>
  <si>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</si>
  <si>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</si>
  <si>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</si>
  <si>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</si>
  <si>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</si>
  <si>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</si>
  <si>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</si>
  <si>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</si>
  <si>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</si>
  <si>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</si>
  <si>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</si>
  <si>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</si>
  <si>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</si>
  <si>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</si>
  <si>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</si>
  <si>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</si>
  <si>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</si>
  <si>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</si>
  <si>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</si>
  <si>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</si>
  <si>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</si>
  <si>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</si>
  <si>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</si>
  <si>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</si>
  <si>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</si>
  <si>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</si>
  <si>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</si>
  <si>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</si>
  <si>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</si>
  <si>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</si>
  <si>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</si>
  <si>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</si>
  <si>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</si>
  <si>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</si>
  <si>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</si>
  <si>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</si>
  <si>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</si>
  <si>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</si>
  <si>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</si>
  <si>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</si>
  <si>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</si>
  <si>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</si>
  <si>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</si>
  <si>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</si>
  <si>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</si>
  <si>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</si>
  <si>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</si>
  <si>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</si>
  <si>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</si>
  <si>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</si>
  <si>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</si>
  <si>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</si>
  <si>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</si>
  <si>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</si>
  <si>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</si>
  <si>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</si>
  <si>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</si>
  <si>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</si>
  <si>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</si>
  <si>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</si>
  <si>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</si>
  <si>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</si>
  <si>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</si>
  <si>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</si>
  <si>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</si>
  <si>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</si>
  <si>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</si>
  <si>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</si>
  <si>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</si>
  <si>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</si>
  <si>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</si>
  <si>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</si>
  <si>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</si>
  <si>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</si>
  <si>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</si>
  <si>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</si>
  <si>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</si>
  <si>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</si>
  <si>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</si>
  <si>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</si>
  <si>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</si>
  <si>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</si>
  <si>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</si>
  <si>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</si>
  <si>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</si>
  <si>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</si>
  <si>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</si>
  <si>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</si>
  <si>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</si>
  <si>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</si>
  <si>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</si>
  <si>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</si>
  <si>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</si>
  <si>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</si>
  <si>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</si>
  <si>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</si>
  <si>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</si>
  <si>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</si>
  <si>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</si>
  <si>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</si>
  <si>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</si>
  <si>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</si>
  <si>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</si>
  <si>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</si>
  <si>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</si>
  <si>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</si>
  <si>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</si>
  <si>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</si>
  <si>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</si>
  <si>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</si>
  <si>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</si>
  <si>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</si>
  <si>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</si>
  <si>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</si>
  <si>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</si>
  <si>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</si>
  <si>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</si>
  <si>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</si>
  <si>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</si>
  <si>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</si>
  <si>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</si>
  <si>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</si>
  <si>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</si>
  <si>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</si>
  <si>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</si>
  <si>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</si>
  <si>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</si>
  <si>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</si>
  <si>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</si>
  <si>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</si>
  <si>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</si>
  <si>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</si>
  <si>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</si>
  <si>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</si>
  <si>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</si>
  <si>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</si>
  <si>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</si>
  <si>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</si>
  <si>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</si>
  <si>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</si>
  <si>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</si>
  <si>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</si>
  <si>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</si>
  <si>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</si>
  <si>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</si>
  <si>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</si>
  <si>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</si>
  <si>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</si>
  <si>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</si>
  <si>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</si>
  <si>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</si>
  <si>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</si>
  <si>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</si>
  <si>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</si>
  <si>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</si>
  <si>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</si>
  <si>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</si>
  <si>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</si>
  <si>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</si>
  <si>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</si>
  <si>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</si>
  <si>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</si>
  <si>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</si>
  <si>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</si>
  <si>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</si>
  <si>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</si>
  <si>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</si>
  <si>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</si>
  <si>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</si>
  <si>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</si>
  <si>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</si>
  <si>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</si>
  <si>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</si>
  <si>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</si>
  <si>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</si>
  <si>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</si>
  <si>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</si>
  <si>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</si>
  <si>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</si>
  <si>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</si>
  <si>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</si>
  <si>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</si>
  <si>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</si>
  <si>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</si>
  <si>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</si>
  <si>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</si>
  <si>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</si>
  <si>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</si>
  <si>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</si>
  <si>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</si>
  <si>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</si>
  <si>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</si>
  <si>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</si>
  <si>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</si>
  <si>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</si>
  <si>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</si>
  <si>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</si>
  <si>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</si>
  <si>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</si>
  <si>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</si>
  <si>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</si>
  <si>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</si>
  <si>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</si>
  <si>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</si>
  <si>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</si>
  <si>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</si>
  <si>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</si>
  <si>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</si>
  <si>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</si>
  <si>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</si>
  <si>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</si>
  <si>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</si>
  <si>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</si>
  <si>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Year</t>
  </si>
  <si>
    <t>Country</t>
  </si>
  <si>
    <t>Inflation, GDP deflator (annual %). Base year 1970</t>
  </si>
  <si>
    <t>Inflation, GDP deflator (annual)</t>
  </si>
  <si>
    <t>Row Labels</t>
  </si>
  <si>
    <t>Grand Total</t>
  </si>
  <si>
    <t>Column Labels</t>
  </si>
  <si>
    <t>Index type</t>
  </si>
  <si>
    <t>Numbers</t>
  </si>
  <si>
    <t>Sum of Numbers</t>
  </si>
  <si>
    <t>Foreign direct investment, net inflows (BoP, current 2024 USD, world aggregate, billions)</t>
  </si>
  <si>
    <t>Foreign direct investment, net inflows (BoP, constant 2024 USD, world aggregate, billions)</t>
  </si>
  <si>
    <t>Foreign direct investment, net inflows (BoP, constant 2024 USD, world aggregate, billions). YoY % change</t>
  </si>
  <si>
    <t>Foreign direct investment, net inflows (BoP, constant 2024 USD, world aggregate, billions). 5-Year Rolling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</si>
</sst>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Aptos Narrow"/>
      <family val="2"/>
      <scheme val="minor"/>
    </font>
    <font>
      <sz val="12"/>
      <color theme="1"/>
      <name val="Aptos Narrow"/>
      <family val="2"/>
      <scheme val="minor"/>
    </font>
    <font>
      <sz val="12"/>
      <color theme="4" tint="-0.249977111117893"/>
      <name val="Aptos Narrow"/>
      <family val="2"/>
      <scheme val="minor"/>
    </font>
    <font>
      <sz val="12"/>
      <name val="Aptos Narrow"/>
      <family val="2"/>
      <scheme val="minor"/>
    </font>
    <font>
      <sz val="8"/>
      <name val="Aptos Narrow"/>
      <family val="2"/>
      <scheme val="minor"/>
    </font>
  </fonts>
  <fills count="3">
    <fill>
      <patternFill patternType="none"/>
    </fill>
    <fill>
      <patternFill patternType="gray125"/>
    </fill>
    <fill>
      <patternFill patternType="solid">
        <fgColor theme="2"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2" fontId="0" fillId="0" borderId="0" xfId="0" applyNumberFormat="1"/>
    <xf numFmtId="0" fontId="3" fillId="0" borderId="0" xfId="0" applyFont="1"/>
    <xf numFmtId="0" fontId="0" fillId="0" borderId="0" xfId="0" pivotButton="1"/>
    <xf numFmtId="10" fontId="0" fillId="0" borderId="0" xfId="1" applyNumberFormat="1" applyFont="1"/>
    <xf numFmtId="2" fontId="0" fillId="0" borderId="0" xfId="1" applyNumberFormat="1" applyFont="1"/>
    <xf numFmtId="1" fontId="0" fillId="0" borderId="0" xfId="0" applyNumberFormat="1"/>
    <xf numFmtId="1" fontId="0" fillId="0" borderId="0" xfId="0" applyNumberFormat="1" applyAlignment="1">
      <alignment horizontal="left"/>
    </xf>
    <xf numFmtId="0" fontId="0" fillId="2" borderId="0" xfId="0" applyFill="1"/>
    <xf numFmtId="10" fontId="0" fillId="0" borderId="0" xfId="0" applyNumberFormat="1"/>
  </cellXfs>
  <cellStyles count="2">
    <cellStyle name="Normal" xfId="0" builtinId="0"/>
    <cellStyle name="Per cent" xfId="1" builtinId="5"/>
  </cellStyles>
  <dxfs count="3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theme="1"/>
        <name val="Aptos Narrow"/>
        <family val="2"/>
        <scheme val="minor"/>
      </font>
      <numFmt numFmtId="14" formatCode="0.00%"/>
    </dxf>
    <dxf>
      <font>
        <b val="0"/>
        <i val="0"/>
        <strike val="0"/>
        <condense val="0"/>
        <extend val="0"/>
        <outline val="0"/>
        <shadow val="0"/>
        <u val="none"/>
        <vertAlign val="baseline"/>
        <sz val="12"/>
        <color auto="1"/>
        <name val="Aptos Narrow"/>
        <family val="2"/>
        <scheme val="minor"/>
      </font>
    </dxf>
    <dxf>
      <numFmt numFmtId="1" formatCode="0"/>
    </dxf>
    <dxf>
      <numFmt numFmtId="2" formatCode="0.00"/>
    </dxf>
    <dxf>
      <font>
        <b val="0"/>
        <i val="0"/>
        <strike val="0"/>
        <condense val="0"/>
        <extend val="0"/>
        <outline val="0"/>
        <shadow val="0"/>
        <u val="none"/>
        <vertAlign val="baseline"/>
        <sz val="12"/>
        <color theme="1"/>
        <name val="Aptos Narrow"/>
        <family val="2"/>
        <scheme val="minor"/>
      </font>
      <numFmt numFmtId="14" formatCode="0.00%"/>
    </dxf>
    <dxf>
      <font>
        <b val="0"/>
        <i val="0"/>
        <strike val="0"/>
        <condense val="0"/>
        <extend val="0"/>
        <outline val="0"/>
        <shadow val="0"/>
        <u val="none"/>
        <vertAlign val="baseline"/>
        <sz val="12"/>
        <color auto="1"/>
        <name val="Aptos Narrow"/>
        <family val="2"/>
        <scheme val="minor"/>
      </font>
    </dxf>
    <dxf>
      <numFmt numFmtId="1" formatCode="0"/>
    </dxf>
    <dxf>
      <font>
        <b val="0"/>
        <i val="0"/>
        <strike val="0"/>
        <condense val="0"/>
        <extend val="0"/>
        <outline val="0"/>
        <shadow val="0"/>
        <u val="none"/>
        <vertAlign val="baseline"/>
        <sz val="12"/>
        <color theme="1"/>
        <name val="Aptos Narrow"/>
        <family val="2"/>
        <scheme val="minor"/>
      </font>
      <numFmt numFmtId="14" formatCode="0.00%"/>
    </dxf>
    <dxf>
      <font>
        <b val="0"/>
        <i val="0"/>
        <strike val="0"/>
        <condense val="0"/>
        <extend val="0"/>
        <outline val="0"/>
        <shadow val="0"/>
        <u val="none"/>
        <vertAlign val="baseline"/>
        <sz val="12"/>
        <color auto="1"/>
        <name val="Aptos Narrow"/>
        <family val="2"/>
        <scheme val="minor"/>
      </font>
    </dxf>
    <dxf>
      <numFmt numFmtId="1" formatCode="0"/>
    </dxf>
    <dxf>
      <font>
        <b val="0"/>
        <i val="0"/>
        <strike val="0"/>
        <condense val="0"/>
        <extend val="0"/>
        <outline val="0"/>
        <shadow val="0"/>
        <u val="none"/>
        <vertAlign val="baseline"/>
        <sz val="12"/>
        <color theme="1"/>
        <name val="Aptos Narrow"/>
        <family val="2"/>
        <scheme val="minor"/>
      </font>
      <numFmt numFmtId="14" formatCode="0.00%"/>
    </dxf>
    <dxf>
      <font>
        <b val="0"/>
        <i val="0"/>
        <strike val="0"/>
        <condense val="0"/>
        <extend val="0"/>
        <outline val="0"/>
        <shadow val="0"/>
        <u val="none"/>
        <vertAlign val="baseline"/>
        <sz val="12"/>
        <color auto="1"/>
        <name val="Aptos Narrow"/>
        <family val="2"/>
        <scheme val="minor"/>
      </font>
    </dxf>
    <dxf>
      <numFmt numFmtId="1" formatCode="0"/>
    </dxf>
    <dxf>
      <font>
        <b/>
        <color theme="1"/>
      </font>
      <border>
        <bottom style="thin">
          <color theme="4"/>
        </bottom>
        <vertical/>
        <horizontal/>
      </border>
    </dxf>
    <dxf>
      <font>
        <color theme="1"/>
      </font>
      <fill>
        <patternFill>
          <bgColor rgb="FFD9D9D9"/>
        </patternFill>
      </fill>
      <border diagonalUp="0" diagonalDown="0">
        <left/>
        <right/>
        <top/>
        <bottom/>
        <vertical/>
        <horizontal/>
      </border>
    </dxf>
    <dxf>
      <font>
        <b/>
        <color theme="1"/>
      </font>
      <border>
        <bottom style="thin">
          <color theme="4"/>
        </bottom>
        <vertical/>
        <horizontal/>
      </border>
    </dxf>
    <dxf>
      <font>
        <color theme="1"/>
      </font>
      <fill>
        <patternFill>
          <bgColor rgb="FFD9D9D9"/>
        </patternFill>
      </fill>
      <border diagonalUp="0" diagonalDown="0">
        <left/>
        <right/>
        <top/>
        <bottom/>
        <vertical/>
        <horizontal/>
      </border>
    </dxf>
  </dxfs>
  <tableStyles count="2" defaultTableStyle="TableStyleMedium2" defaultPivotStyle="PivotStyleLight16">
    <tableStyle name="SlicerStyleDark1 Index type" pivot="0" table="0" count="10" xr9:uid="{C77799F8-CA94-9848-A4B7-740198592206}">
      <tableStyleElement type="wholeTable" dxfId="30"/>
      <tableStyleElement type="headerRow" dxfId="29"/>
    </tableStyle>
    <tableStyle name="SlicerStyleDark1 Years" pivot="0" table="0" count="10" xr9:uid="{0ED77EE0-162D-B34D-BF88-B96D85EDDC72}">
      <tableStyleElement type="wholeTable" dxfId="28"/>
      <tableStyleElement type="headerRow" dxfId="27"/>
    </tableStyle>
  </tableStyles>
  <colors>
    <mruColors>
      <color rgb="FF156082"/>
      <color rgb="FFD9D9D9"/>
      <color rgb="FFC0C0C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Index typ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Year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[FDI Analysis.xlsx]pivot!PivotTable3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GB" sz="1600" b="1"/>
              <a:t>Global Foreign Direct Investment (FDI), 1970–2024 – Real vs Nominal Trends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marker>
          <c:symbol val="none"/>
        </c:marker>
        <c:dLbl>
          <c:idx val="0"/>
          <c:layout>
            <c:manualLayout>
              <c:x val="-1.5691867730734742E-2"/>
              <c:y val="-5.07516491245383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chemeClr val="accent1">
                <a:tint val="77000"/>
              </a:schemeClr>
            </a:solidFill>
            <a:round/>
          </a:ln>
          <a:effectLst/>
        </c:spPr>
        <c:marker>
          <c:symbol val="none"/>
        </c:marker>
        <c:dLbl>
          <c:idx val="0"/>
          <c:layout>
            <c:manualLayout>
              <c:x val="-1.3076557788706906E-2"/>
              <c:y val="7.9437363847103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tint val="77000"/>
              </a:schemeClr>
            </a:solidFill>
            <a:round/>
          </a:ln>
          <a:effectLst/>
        </c:spPr>
        <c:marker>
          <c:symbol val="none"/>
        </c:marker>
        <c:dLbl>
          <c:idx val="0"/>
          <c:layout>
            <c:manualLayout>
              <c:x val="-1.3076557788706906E-2"/>
              <c:y val="7.9437363847103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hade val="76000"/>
              </a:schemeClr>
            </a:solidFill>
            <a:round/>
          </a:ln>
          <a:effectLst/>
        </c:spPr>
        <c:marker>
          <c:symbol val="none"/>
        </c:marker>
        <c:dLbl>
          <c:idx val="0"/>
          <c:layout>
            <c:manualLayout>
              <c:x val="-1.5691867730734742E-2"/>
              <c:y val="-5.07516491245383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1.3076557788706906E-2"/>
              <c:y val="7.9437363847103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1.5691867730734742E-2"/>
              <c:y val="-5.07516491245383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Foreign direct investment, net inflows (BoP, constant 2024 USD, world aggregate, billions)</c:v>
                </c:pt>
              </c:strCache>
            </c:strRef>
          </c:tx>
          <c:spPr>
            <a:ln w="28575" cap="rnd">
              <a:solidFill>
                <a:schemeClr val="accent1">
                  <a:tint val="77000"/>
                </a:schemeClr>
              </a:solidFill>
              <a:round/>
            </a:ln>
            <a:effectLst/>
          </c:spPr>
          <c:marker>
            <c:symbol val="none"/>
          </c:marker>
          <c:dPt>
            <c:idx val="54"/>
            <c:marker>
              <c:symbol val="none"/>
            </c:marker>
            <c:bubble3D val="0"/>
            <c:spPr>
              <a:ln w="28575" cap="rnd">
                <a:solidFill>
                  <a:schemeClr val="accent1">
                    <a:tint val="77000"/>
                  </a:schemeClr>
                </a:solidFill>
                <a:round/>
              </a:ln>
              <a:effectLst/>
            </c:spPr>
          </c:dPt>
          <c:dLbls>
            <c:dLbl>
              <c:idx val="54"/>
              <c:layout>
                <c:manualLayout>
                  <c:x val="-1.3076557788706906E-2"/>
                  <c:y val="7.9437363847103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pivot!$A$5:$A$60</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pivot!$B$5:$B$60</c:f>
              <c:numCache>
                <c:formatCode>0.00</c:formatCode>
                <c:ptCount val="55"/>
                <c:pt idx="0">
                  <c:v>12.357585832741663</c:v>
                </c:pt>
                <c:pt idx="1">
                  <c:v>14.682921815914053</c:v>
                </c:pt>
                <c:pt idx="2">
                  <c:v>16.31121527575926</c:v>
                </c:pt>
                <c:pt idx="3">
                  <c:v>23.614514724117058</c:v>
                </c:pt>
                <c:pt idx="4">
                  <c:v>31.711438949238246</c:v>
                </c:pt>
                <c:pt idx="5">
                  <c:v>39.64029493828815</c:v>
                </c:pt>
                <c:pt idx="6">
                  <c:v>34.871442044471657</c:v>
                </c:pt>
                <c:pt idx="7">
                  <c:v>50.178112900762486</c:v>
                </c:pt>
                <c:pt idx="8">
                  <c:v>68.548140716383259</c:v>
                </c:pt>
                <c:pt idx="9">
                  <c:v>91.868832105355949</c:v>
                </c:pt>
                <c:pt idx="10">
                  <c:v>130.43683689002609</c:v>
                </c:pt>
                <c:pt idx="11">
                  <c:v>192.14589629062249</c:v>
                </c:pt>
                <c:pt idx="12">
                  <c:v>197.20049212032666</c:v>
                </c:pt>
                <c:pt idx="13">
                  <c:v>174.49080402301485</c:v>
                </c:pt>
                <c:pt idx="14">
                  <c:v>211.76305996335333</c:v>
                </c:pt>
                <c:pt idx="15">
                  <c:v>171.85529516826887</c:v>
                </c:pt>
                <c:pt idx="16">
                  <c:v>329.82138826037891</c:v>
                </c:pt>
                <c:pt idx="17">
                  <c:v>592.24763240987409</c:v>
                </c:pt>
                <c:pt idx="18">
                  <c:v>754.75029346819247</c:v>
                </c:pt>
                <c:pt idx="19">
                  <c:v>969.93709501800572</c:v>
                </c:pt>
                <c:pt idx="20">
                  <c:v>1243.0725792464661</c:v>
                </c:pt>
                <c:pt idx="21">
                  <c:v>980.86555128723262</c:v>
                </c:pt>
                <c:pt idx="22">
                  <c:v>1134.8255543359865</c:v>
                </c:pt>
                <c:pt idx="23">
                  <c:v>1528.6095957587938</c:v>
                </c:pt>
                <c:pt idx="24">
                  <c:v>1970.6417313549186</c:v>
                </c:pt>
                <c:pt idx="25">
                  <c:v>2809.6907413563008</c:v>
                </c:pt>
                <c:pt idx="26">
                  <c:v>3525.3569939849049</c:v>
                </c:pt>
                <c:pt idx="27">
                  <c:v>4804.4193634442008</c:v>
                </c:pt>
                <c:pt idx="28">
                  <c:v>7474.8840732919798</c:v>
                </c:pt>
                <c:pt idx="29">
                  <c:v>11839.52737098889</c:v>
                </c:pt>
                <c:pt idx="30">
                  <c:v>16107.264006793359</c:v>
                </c:pt>
                <c:pt idx="31">
                  <c:v>9646.8249767360794</c:v>
                </c:pt>
                <c:pt idx="32">
                  <c:v>8416.543488494437</c:v>
                </c:pt>
                <c:pt idx="33">
                  <c:v>8543.3796596470893</c:v>
                </c:pt>
                <c:pt idx="34">
                  <c:v>12166.797371954299</c:v>
                </c:pt>
                <c:pt idx="35">
                  <c:v>19814.525452494658</c:v>
                </c:pt>
                <c:pt idx="36">
                  <c:v>29516.208776567848</c:v>
                </c:pt>
                <c:pt idx="37">
                  <c:v>44382.79305116021</c:v>
                </c:pt>
                <c:pt idx="38">
                  <c:v>36782.487679027312</c:v>
                </c:pt>
                <c:pt idx="39">
                  <c:v>24677.015159579762</c:v>
                </c:pt>
                <c:pt idx="40">
                  <c:v>30624.113330279441</c:v>
                </c:pt>
                <c:pt idx="41">
                  <c:v>41355.189158801302</c:v>
                </c:pt>
                <c:pt idx="42">
                  <c:v>37791.28620301019</c:v>
                </c:pt>
                <c:pt idx="43">
                  <c:v>40983.443964807535</c:v>
                </c:pt>
                <c:pt idx="44">
                  <c:v>38030.225434374312</c:v>
                </c:pt>
                <c:pt idx="45">
                  <c:v>55089.623779112284</c:v>
                </c:pt>
                <c:pt idx="46">
                  <c:v>55472.696224401727</c:v>
                </c:pt>
                <c:pt idx="47">
                  <c:v>46416.502208263941</c:v>
                </c:pt>
                <c:pt idx="48">
                  <c:v>23433.291506806574</c:v>
                </c:pt>
                <c:pt idx="49">
                  <c:v>42270.196478990365</c:v>
                </c:pt>
                <c:pt idx="50">
                  <c:v>26434.513652929305</c:v>
                </c:pt>
                <c:pt idx="51">
                  <c:v>55023.396009554686</c:v>
                </c:pt>
                <c:pt idx="52">
                  <c:v>44869.944476366873</c:v>
                </c:pt>
                <c:pt idx="53">
                  <c:v>24777.917591194473</c:v>
                </c:pt>
                <c:pt idx="54">
                  <c:v>41898.930871546989</c:v>
                </c:pt>
              </c:numCache>
            </c:numRef>
          </c:val>
          <c:smooth val="0"/>
          <c:extLst>
            <c:ext xmlns:c16="http://schemas.microsoft.com/office/drawing/2014/chart" uri="{C3380CC4-5D6E-409C-BE32-E72D297353CC}">
              <c16:uniqueId val="{00000001-F538-B94C-B5A7-26723B611581}"/>
            </c:ext>
          </c:extLst>
        </c:ser>
        <c:ser>
          <c:idx val="1"/>
          <c:order val="1"/>
          <c:tx>
            <c:strRef>
              <c:f>pivot!$C$3:$C$4</c:f>
              <c:strCache>
                <c:ptCount val="1"/>
                <c:pt idx="0">
                  <c:v>Foreign direct investment, net inflows (BoP, current 2024 USD, world aggregate, billions)</c:v>
                </c:pt>
              </c:strCache>
            </c:strRef>
          </c:tx>
          <c:spPr>
            <a:ln w="28575" cap="rnd">
              <a:solidFill>
                <a:schemeClr val="accent1">
                  <a:shade val="76000"/>
                </a:schemeClr>
              </a:solidFill>
              <a:round/>
            </a:ln>
            <a:effectLst/>
          </c:spPr>
          <c:marker>
            <c:symbol val="none"/>
          </c:marker>
          <c:dPt>
            <c:idx val="54"/>
            <c:marker>
              <c:symbol val="none"/>
            </c:marker>
            <c:bubble3D val="0"/>
            <c:spPr>
              <a:ln w="28575" cap="rnd">
                <a:solidFill>
                  <a:schemeClr val="accent1">
                    <a:shade val="76000"/>
                  </a:schemeClr>
                </a:solidFill>
                <a:round/>
              </a:ln>
              <a:effectLst/>
            </c:spPr>
          </c:dPt>
          <c:dLbls>
            <c:dLbl>
              <c:idx val="54"/>
              <c:layout>
                <c:manualLayout>
                  <c:x val="-1.5691867730734742E-2"/>
                  <c:y val="-5.07516491245383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PL"/>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pivot!$A$5:$A$60</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pivot!$C$5:$C$60</c:f>
              <c:numCache>
                <c:formatCode>0.00</c:formatCode>
                <c:ptCount val="55"/>
                <c:pt idx="0">
                  <c:v>12.357585832741663</c:v>
                </c:pt>
                <c:pt idx="1">
                  <c:v>14.020855075980126</c:v>
                </c:pt>
                <c:pt idx="2">
                  <c:v>14.768702552929636</c:v>
                </c:pt>
                <c:pt idx="3">
                  <c:v>20.09749076138484</c:v>
                </c:pt>
                <c:pt idx="4">
                  <c:v>24.129828712275692</c:v>
                </c:pt>
                <c:pt idx="5">
                  <c:v>25.843473882758349</c:v>
                </c:pt>
                <c:pt idx="6">
                  <c:v>20.577011011399527</c:v>
                </c:pt>
                <c:pt idx="7">
                  <c:v>27.094427076544491</c:v>
                </c:pt>
                <c:pt idx="8">
                  <c:v>33.742874310553852</c:v>
                </c:pt>
                <c:pt idx="9">
                  <c:v>41.951228839756141</c:v>
                </c:pt>
                <c:pt idx="10">
                  <c:v>53.413886835971915</c:v>
                </c:pt>
                <c:pt idx="11">
                  <c:v>69.598655387668174</c:v>
                </c:pt>
                <c:pt idx="12">
                  <c:v>64.847077910456122</c:v>
                </c:pt>
                <c:pt idx="13">
                  <c:v>53.073373424564089</c:v>
                </c:pt>
                <c:pt idx="14">
                  <c:v>59.791128735993716</c:v>
                </c:pt>
                <c:pt idx="15">
                  <c:v>44.960850724530836</c:v>
                </c:pt>
                <c:pt idx="16">
                  <c:v>81.76878897408956</c:v>
                </c:pt>
                <c:pt idx="17">
                  <c:v>139.51909754610267</c:v>
                </c:pt>
                <c:pt idx="18">
                  <c:v>165.89548945904681</c:v>
                </c:pt>
                <c:pt idx="19">
                  <c:v>200.156890860696</c:v>
                </c:pt>
                <c:pt idx="20">
                  <c:v>239.40898931659362</c:v>
                </c:pt>
                <c:pt idx="21">
                  <c:v>174.93574396089019</c:v>
                </c:pt>
                <c:pt idx="22">
                  <c:v>186.25410923117306</c:v>
                </c:pt>
                <c:pt idx="23">
                  <c:v>233.71968512569518</c:v>
                </c:pt>
                <c:pt idx="24">
                  <c:v>278.76448396491202</c:v>
                </c:pt>
                <c:pt idx="25">
                  <c:v>361.95425096274414</c:v>
                </c:pt>
                <c:pt idx="26">
                  <c:v>417.89266456598091</c:v>
                </c:pt>
                <c:pt idx="27">
                  <c:v>534.15260452988616</c:v>
                </c:pt>
                <c:pt idx="28">
                  <c:v>795.5970033236265</c:v>
                </c:pt>
                <c:pt idx="29">
                  <c:v>1203.6762313722152</c:v>
                </c:pt>
                <c:pt idx="30">
                  <c:v>1569.4502753444744</c:v>
                </c:pt>
                <c:pt idx="31">
                  <c:v>895.7407520435446</c:v>
                </c:pt>
                <c:pt idx="32">
                  <c:v>751.72492004318735</c:v>
                </c:pt>
                <c:pt idx="33">
                  <c:v>736.86360878716891</c:v>
                </c:pt>
                <c:pt idx="34">
                  <c:v>1009.2681686511053</c:v>
                </c:pt>
                <c:pt idx="35">
                  <c:v>1554.656995349611</c:v>
                </c:pt>
                <c:pt idx="36">
                  <c:v>2191.6247956370476</c:v>
                </c:pt>
                <c:pt idx="37">
                  <c:v>3114.6062279012654</c:v>
                </c:pt>
                <c:pt idx="38">
                  <c:v>2438.6614044850794</c:v>
                </c:pt>
                <c:pt idx="39">
                  <c:v>1516.8979465388156</c:v>
                </c:pt>
                <c:pt idx="40">
                  <c:v>1843.4490811220946</c:v>
                </c:pt>
                <c:pt idx="41">
                  <c:v>2388.3930164315934</c:v>
                </c:pt>
                <c:pt idx="42">
                  <c:v>2070.356643487235</c:v>
                </c:pt>
                <c:pt idx="43">
                  <c:v>2167.0813502037236</c:v>
                </c:pt>
                <c:pt idx="44">
                  <c:v>1966.4667277371727</c:v>
                </c:pt>
                <c:pt idx="45">
                  <c:v>2791.8477190874901</c:v>
                </c:pt>
                <c:pt idx="46">
                  <c:v>2748.2537548254409</c:v>
                </c:pt>
                <c:pt idx="47">
                  <c:v>2256.8144782999848</c:v>
                </c:pt>
                <c:pt idx="48">
                  <c:v>1106.4830833761459</c:v>
                </c:pt>
                <c:pt idx="49">
                  <c:v>1941.7633063563983</c:v>
                </c:pt>
                <c:pt idx="50">
                  <c:v>1186.5767030265683</c:v>
                </c:pt>
                <c:pt idx="51">
                  <c:v>2423.7700767170677</c:v>
                </c:pt>
                <c:pt idx="52">
                  <c:v>1889.1449387523712</c:v>
                </c:pt>
                <c:pt idx="53">
                  <c:v>973.55671028735333</c:v>
                </c:pt>
                <c:pt idx="54">
                  <c:v>1563.741062287221</c:v>
                </c:pt>
              </c:numCache>
            </c:numRef>
          </c:val>
          <c:smooth val="0"/>
          <c:extLst>
            <c:ext xmlns:c16="http://schemas.microsoft.com/office/drawing/2014/chart" uri="{C3380CC4-5D6E-409C-BE32-E72D297353CC}">
              <c16:uniqueId val="{00000003-09E6-8A4F-B96E-905DD00FE8B2}"/>
            </c:ext>
          </c:extLst>
        </c:ser>
        <c:dLbls>
          <c:showLegendKey val="0"/>
          <c:showVal val="0"/>
          <c:showCatName val="0"/>
          <c:showSerName val="0"/>
          <c:showPercent val="0"/>
          <c:showBubbleSize val="0"/>
        </c:dLbls>
        <c:smooth val="0"/>
        <c:axId val="379842448"/>
        <c:axId val="1569685839"/>
      </c:lineChart>
      <c:catAx>
        <c:axId val="37984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crossAx val="1569685839"/>
        <c:crosses val="autoZero"/>
        <c:auto val="1"/>
        <c:lblAlgn val="ctr"/>
        <c:lblOffset val="100"/>
        <c:noMultiLvlLbl val="0"/>
      </c:catAx>
      <c:valAx>
        <c:axId val="1569685839"/>
        <c:scaling>
          <c:orientation val="minMax"/>
        </c:scaling>
        <c:delete val="0"/>
        <c:axPos val="l"/>
        <c:majorGridlines>
          <c:spPr>
            <a:ln w="3175" cap="flat" cmpd="sng" algn="ctr">
              <a:solidFill>
                <a:srgbClr val="156082"/>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crossAx val="379842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5875" cap="flat" cmpd="sng" algn="ctr">
      <a:no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[FDI Analysis.xlsx]pivot!PivotTable1</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a:t>Global FDI Trends and Volatility (Real Terms, 1970–2024)</a:t>
            </a:r>
            <a:endParaRPr lang="en-GB"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pivot!$B$88:$B$89</c:f>
              <c:strCache>
                <c:ptCount val="1"/>
                <c:pt idx="0">
                  <c:v>Foreign direct investment, net inflows (BoP, constant 2024 USD, world aggregate, billions)</c:v>
                </c:pt>
              </c:strCache>
            </c:strRef>
          </c:tx>
          <c:spPr>
            <a:ln w="28575" cap="rnd">
              <a:solidFill>
                <a:schemeClr val="accent1">
                  <a:shade val="76000"/>
                </a:schemeClr>
              </a:solidFill>
              <a:round/>
            </a:ln>
            <a:effectLst/>
          </c:spPr>
          <c:marker>
            <c:symbol val="none"/>
          </c:marker>
          <c:cat>
            <c:strRef>
              <c:f>pivot!$A$90:$A$145</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pivot!$B$90:$B$145</c:f>
              <c:numCache>
                <c:formatCode>0.00</c:formatCode>
                <c:ptCount val="55"/>
                <c:pt idx="0">
                  <c:v>12.357585832741663</c:v>
                </c:pt>
                <c:pt idx="1">
                  <c:v>14.682921815914053</c:v>
                </c:pt>
                <c:pt idx="2">
                  <c:v>16.31121527575926</c:v>
                </c:pt>
                <c:pt idx="3">
                  <c:v>23.614514724117058</c:v>
                </c:pt>
                <c:pt idx="4">
                  <c:v>31.711438949238246</c:v>
                </c:pt>
                <c:pt idx="5">
                  <c:v>39.64029493828815</c:v>
                </c:pt>
                <c:pt idx="6">
                  <c:v>34.871442044471657</c:v>
                </c:pt>
                <c:pt idx="7">
                  <c:v>50.178112900762486</c:v>
                </c:pt>
                <c:pt idx="8">
                  <c:v>68.548140716383259</c:v>
                </c:pt>
                <c:pt idx="9">
                  <c:v>91.868832105355949</c:v>
                </c:pt>
                <c:pt idx="10">
                  <c:v>130.43683689002609</c:v>
                </c:pt>
                <c:pt idx="11">
                  <c:v>192.14589629062249</c:v>
                </c:pt>
                <c:pt idx="12">
                  <c:v>197.20049212032666</c:v>
                </c:pt>
                <c:pt idx="13">
                  <c:v>174.49080402301485</c:v>
                </c:pt>
                <c:pt idx="14">
                  <c:v>211.76305996335333</c:v>
                </c:pt>
                <c:pt idx="15">
                  <c:v>171.85529516826887</c:v>
                </c:pt>
                <c:pt idx="16">
                  <c:v>329.82138826037891</c:v>
                </c:pt>
                <c:pt idx="17">
                  <c:v>592.24763240987409</c:v>
                </c:pt>
                <c:pt idx="18">
                  <c:v>754.75029346819247</c:v>
                </c:pt>
                <c:pt idx="19">
                  <c:v>969.93709501800572</c:v>
                </c:pt>
                <c:pt idx="20">
                  <c:v>1243.0725792464661</c:v>
                </c:pt>
                <c:pt idx="21">
                  <c:v>980.86555128723262</c:v>
                </c:pt>
                <c:pt idx="22">
                  <c:v>1134.8255543359865</c:v>
                </c:pt>
                <c:pt idx="23">
                  <c:v>1528.6095957587938</c:v>
                </c:pt>
                <c:pt idx="24">
                  <c:v>1970.6417313549186</c:v>
                </c:pt>
                <c:pt idx="25">
                  <c:v>2809.6907413563008</c:v>
                </c:pt>
                <c:pt idx="26">
                  <c:v>3525.3569939849049</c:v>
                </c:pt>
                <c:pt idx="27">
                  <c:v>4804.4193634442008</c:v>
                </c:pt>
                <c:pt idx="28">
                  <c:v>7474.8840732919798</c:v>
                </c:pt>
                <c:pt idx="29">
                  <c:v>11839.52737098889</c:v>
                </c:pt>
                <c:pt idx="30">
                  <c:v>16107.264006793359</c:v>
                </c:pt>
                <c:pt idx="31">
                  <c:v>9646.8249767360794</c:v>
                </c:pt>
                <c:pt idx="32">
                  <c:v>8416.543488494437</c:v>
                </c:pt>
                <c:pt idx="33">
                  <c:v>8543.3796596470893</c:v>
                </c:pt>
                <c:pt idx="34">
                  <c:v>12166.797371954299</c:v>
                </c:pt>
                <c:pt idx="35">
                  <c:v>19814.525452494658</c:v>
                </c:pt>
                <c:pt idx="36">
                  <c:v>29516.208776567848</c:v>
                </c:pt>
                <c:pt idx="37">
                  <c:v>44382.79305116021</c:v>
                </c:pt>
                <c:pt idx="38">
                  <c:v>36782.487679027312</c:v>
                </c:pt>
                <c:pt idx="39">
                  <c:v>24677.015159579762</c:v>
                </c:pt>
                <c:pt idx="40">
                  <c:v>30624.113330279441</c:v>
                </c:pt>
                <c:pt idx="41">
                  <c:v>41355.189158801302</c:v>
                </c:pt>
                <c:pt idx="42">
                  <c:v>37791.28620301019</c:v>
                </c:pt>
                <c:pt idx="43">
                  <c:v>40983.443964807535</c:v>
                </c:pt>
                <c:pt idx="44">
                  <c:v>38030.225434374312</c:v>
                </c:pt>
                <c:pt idx="45">
                  <c:v>55089.623779112284</c:v>
                </c:pt>
                <c:pt idx="46">
                  <c:v>55472.696224401727</c:v>
                </c:pt>
                <c:pt idx="47">
                  <c:v>46416.502208263941</c:v>
                </c:pt>
                <c:pt idx="48">
                  <c:v>23433.291506806574</c:v>
                </c:pt>
                <c:pt idx="49">
                  <c:v>42270.196478990365</c:v>
                </c:pt>
                <c:pt idx="50">
                  <c:v>26434.513652929305</c:v>
                </c:pt>
                <c:pt idx="51">
                  <c:v>55023.396009554686</c:v>
                </c:pt>
                <c:pt idx="52">
                  <c:v>44869.944476366873</c:v>
                </c:pt>
                <c:pt idx="53">
                  <c:v>24777.917591194473</c:v>
                </c:pt>
                <c:pt idx="54">
                  <c:v>41898.930871546989</c:v>
                </c:pt>
              </c:numCache>
            </c:numRef>
          </c:val>
          <c:smooth val="0"/>
          <c:extLst>
            <c:ext xmlns:c16="http://schemas.microsoft.com/office/drawing/2014/chart" uri="{C3380CC4-5D6E-409C-BE32-E72D297353CC}">
              <c16:uniqueId val="{00000000-A289-DD4E-8577-0613DDEE02CF}"/>
            </c:ext>
          </c:extLst>
        </c:ser>
        <c:ser>
          <c:idx val="1"/>
          <c:order val="1"/>
          <c:tx>
            <c:strRef>
              <c:f>pivot!$C$88:$C$89</c:f>
              <c:strCache>
                <c:ptCount val="1"/>
                <c:pt idx="0">
                  <c:v>Foreign direct investment, net inflows (BoP, constant 2024 USD, world aggregate, billions). 5-Year Rolling Average</c:v>
                </c:pt>
              </c:strCache>
            </c:strRef>
          </c:tx>
          <c:spPr>
            <a:ln w="28575" cap="rnd">
              <a:solidFill>
                <a:schemeClr val="accent1">
                  <a:tint val="77000"/>
                </a:schemeClr>
              </a:solidFill>
              <a:round/>
            </a:ln>
            <a:effectLst/>
          </c:spPr>
          <c:marker>
            <c:symbol val="none"/>
          </c:marker>
          <c:cat>
            <c:strRef>
              <c:f>pivot!$A$90:$A$145</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pivot!$C$90:$C$145</c:f>
              <c:numCache>
                <c:formatCode>0.00</c:formatCode>
                <c:ptCount val="55"/>
                <c:pt idx="0">
                  <c:v>12.357585832741663</c:v>
                </c:pt>
                <c:pt idx="1">
                  <c:v>13.520253824327858</c:v>
                </c:pt>
                <c:pt idx="2">
                  <c:v>14.450574308138327</c:v>
                </c:pt>
                <c:pt idx="3">
                  <c:v>16.741559412133007</c:v>
                </c:pt>
                <c:pt idx="4">
                  <c:v>19.735535319554057</c:v>
                </c:pt>
                <c:pt idx="5">
                  <c:v>25.192077140663351</c:v>
                </c:pt>
                <c:pt idx="6">
                  <c:v>29.229781186374876</c:v>
                </c:pt>
                <c:pt idx="7">
                  <c:v>36.003160711375514</c:v>
                </c:pt>
                <c:pt idx="8">
                  <c:v>44.989885909828757</c:v>
                </c:pt>
                <c:pt idx="9">
                  <c:v>57.0213645410523</c:v>
                </c:pt>
                <c:pt idx="10">
                  <c:v>75.180672931399897</c:v>
                </c:pt>
                <c:pt idx="11">
                  <c:v>106.63556378063005</c:v>
                </c:pt>
                <c:pt idx="12">
                  <c:v>136.04003962454289</c:v>
                </c:pt>
                <c:pt idx="13">
                  <c:v>157.22857228586921</c:v>
                </c:pt>
                <c:pt idx="14">
                  <c:v>181.20741785746867</c:v>
                </c:pt>
                <c:pt idx="15">
                  <c:v>189.49110951311724</c:v>
                </c:pt>
                <c:pt idx="16">
                  <c:v>217.02620790706848</c:v>
                </c:pt>
                <c:pt idx="17">
                  <c:v>296.03563596497804</c:v>
                </c:pt>
                <c:pt idx="18">
                  <c:v>412.08753385401354</c:v>
                </c:pt>
                <c:pt idx="19">
                  <c:v>563.72234086494404</c:v>
                </c:pt>
                <c:pt idx="20">
                  <c:v>777.96579768058348</c:v>
                </c:pt>
                <c:pt idx="21">
                  <c:v>908.17463028595432</c:v>
                </c:pt>
                <c:pt idx="22">
                  <c:v>1016.6902146711766</c:v>
                </c:pt>
                <c:pt idx="23">
                  <c:v>1171.4620751292971</c:v>
                </c:pt>
                <c:pt idx="24">
                  <c:v>1371.6030023966796</c:v>
                </c:pt>
                <c:pt idx="25">
                  <c:v>1684.9266348186463</c:v>
                </c:pt>
                <c:pt idx="26">
                  <c:v>2193.824923358181</c:v>
                </c:pt>
                <c:pt idx="27">
                  <c:v>2927.7436851798234</c:v>
                </c:pt>
                <c:pt idx="28">
                  <c:v>4116.9985806864615</c:v>
                </c:pt>
                <c:pt idx="29">
                  <c:v>6090.775708613256</c:v>
                </c:pt>
                <c:pt idx="30">
                  <c:v>8750.2903617006668</c:v>
                </c:pt>
                <c:pt idx="31">
                  <c:v>9974.5839582509016</c:v>
                </c:pt>
                <c:pt idx="32">
                  <c:v>10697.008783260952</c:v>
                </c:pt>
                <c:pt idx="33">
                  <c:v>10910.707900531972</c:v>
                </c:pt>
                <c:pt idx="34">
                  <c:v>10976.161900725054</c:v>
                </c:pt>
                <c:pt idx="35">
                  <c:v>11717.614189865313</c:v>
                </c:pt>
                <c:pt idx="36">
                  <c:v>15691.490949831665</c:v>
                </c:pt>
                <c:pt idx="37">
                  <c:v>22884.740862364823</c:v>
                </c:pt>
                <c:pt idx="38">
                  <c:v>28532.562466240863</c:v>
                </c:pt>
                <c:pt idx="39">
                  <c:v>31034.606023765959</c:v>
                </c:pt>
                <c:pt idx="40">
                  <c:v>33196.523599322914</c:v>
                </c:pt>
                <c:pt idx="41">
                  <c:v>35564.319675769606</c:v>
                </c:pt>
                <c:pt idx="42">
                  <c:v>34246.018306139602</c:v>
                </c:pt>
                <c:pt idx="43">
                  <c:v>35086.209563295648</c:v>
                </c:pt>
                <c:pt idx="44">
                  <c:v>37756.851618254557</c:v>
                </c:pt>
                <c:pt idx="45">
                  <c:v>42649.953708021116</c:v>
                </c:pt>
                <c:pt idx="46">
                  <c:v>45473.455121141211</c:v>
                </c:pt>
                <c:pt idx="47">
                  <c:v>47198.498322191954</c:v>
                </c:pt>
                <c:pt idx="48">
                  <c:v>43688.46783059177</c:v>
                </c:pt>
                <c:pt idx="49">
                  <c:v>44536.462039514983</c:v>
                </c:pt>
                <c:pt idx="50">
                  <c:v>38805.440014278392</c:v>
                </c:pt>
                <c:pt idx="51">
                  <c:v>38715.57997130898</c:v>
                </c:pt>
                <c:pt idx="52">
                  <c:v>38406.268424929556</c:v>
                </c:pt>
                <c:pt idx="53">
                  <c:v>38675.193641807149</c:v>
                </c:pt>
                <c:pt idx="54">
                  <c:v>38600.940520318465</c:v>
                </c:pt>
              </c:numCache>
            </c:numRef>
          </c:val>
          <c:smooth val="0"/>
          <c:extLst>
            <c:ext xmlns:c16="http://schemas.microsoft.com/office/drawing/2014/chart" uri="{C3380CC4-5D6E-409C-BE32-E72D297353CC}">
              <c16:uniqueId val="{00000002-F7D8-0A4C-AF66-F7C1CBB3D57D}"/>
            </c:ext>
          </c:extLst>
        </c:ser>
        <c:dLbls>
          <c:showLegendKey val="0"/>
          <c:showVal val="0"/>
          <c:showCatName val="0"/>
          <c:showSerName val="0"/>
          <c:showPercent val="0"/>
          <c:showBubbleSize val="0"/>
        </c:dLbls>
        <c:smooth val="0"/>
        <c:axId val="868877343"/>
        <c:axId val="1052565423"/>
      </c:lineChart>
      <c:catAx>
        <c:axId val="86887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crossAx val="1052565423"/>
        <c:crosses val="autoZero"/>
        <c:auto val="1"/>
        <c:lblAlgn val="ctr"/>
        <c:lblOffset val="100"/>
        <c:noMultiLvlLbl val="0"/>
      </c:catAx>
      <c:valAx>
        <c:axId val="1052565423"/>
        <c:scaling>
          <c:orientation val="minMax"/>
        </c:scaling>
        <c:delete val="0"/>
        <c:axPos val="l"/>
        <c:majorGridlines>
          <c:spPr>
            <a:ln w="3175" cap="flat" cmpd="sng" algn="ctr">
              <a:solidFill>
                <a:schemeClr val="accent1"/>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crossAx val="86887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[FDI Analysis.xlsx]pivot!PivotTable4</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a:t>FDI Volatility vs Global Inflation (1970–2024)</a:t>
            </a:r>
            <a:endParaRPr lang="en-GB"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pivot!$B$177:$B$178</c:f>
              <c:strCache>
                <c:ptCount val="1"/>
                <c:pt idx="0">
                  <c:v>Foreign direct investment, net inflows (BoP, constant 2024 USD, world aggregate, billions). YoY % change</c:v>
                </c:pt>
              </c:strCache>
            </c:strRef>
          </c:tx>
          <c:spPr>
            <a:ln w="28575" cap="rnd">
              <a:solidFill>
                <a:schemeClr val="accent1">
                  <a:shade val="76000"/>
                </a:schemeClr>
              </a:solidFill>
              <a:round/>
            </a:ln>
            <a:effectLst/>
          </c:spPr>
          <c:marker>
            <c:symbol val="none"/>
          </c:marker>
          <c:cat>
            <c:strRef>
              <c:f>pivot!$A$179:$A$234</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pivot!$B$179:$B$234</c:f>
              <c:numCache>
                <c:formatCode>0.00%</c:formatCode>
                <c:ptCount val="55"/>
                <c:pt idx="0">
                  <c:v>0</c:v>
                </c:pt>
                <c:pt idx="1">
                  <c:v>0.18817073291219777</c:v>
                </c:pt>
                <c:pt idx="2">
                  <c:v>0.11089710074464776</c:v>
                </c:pt>
                <c:pt idx="3">
                  <c:v>0.44774710681499741</c:v>
                </c:pt>
                <c:pt idx="4">
                  <c:v>0.34287912835456047</c:v>
                </c:pt>
                <c:pt idx="5">
                  <c:v>0.25003141616316871</c:v>
                </c:pt>
                <c:pt idx="6">
                  <c:v>-0.12030316376910477</c:v>
                </c:pt>
                <c:pt idx="7">
                  <c:v>0.43894573779800061</c:v>
                </c:pt>
                <c:pt idx="8">
                  <c:v>0.36609642638317763</c:v>
                </c:pt>
                <c:pt idx="9">
                  <c:v>0.34020895600161705</c:v>
                </c:pt>
                <c:pt idx="10">
                  <c:v>0.41981599091670208</c:v>
                </c:pt>
                <c:pt idx="11">
                  <c:v>0.47309533772752044</c:v>
                </c:pt>
                <c:pt idx="12">
                  <c:v>2.6306030611546571E-2</c:v>
                </c:pt>
                <c:pt idx="13">
                  <c:v>-0.11516040276134276</c:v>
                </c:pt>
                <c:pt idx="14">
                  <c:v>0.21360584673231475</c:v>
                </c:pt>
                <c:pt idx="15">
                  <c:v>-0.18845479849975111</c:v>
                </c:pt>
                <c:pt idx="16">
                  <c:v>0.91918083139329831</c:v>
                </c:pt>
                <c:pt idx="17">
                  <c:v>0.79566169293521272</c:v>
                </c:pt>
                <c:pt idx="18">
                  <c:v>0.2743829644317699</c:v>
                </c:pt>
                <c:pt idx="19">
                  <c:v>0.28510992763049781</c:v>
                </c:pt>
                <c:pt idx="20">
                  <c:v>0.28160123541144699</c:v>
                </c:pt>
                <c:pt idx="21">
                  <c:v>-0.21093460859556556</c:v>
                </c:pt>
                <c:pt idx="22">
                  <c:v>0.1569634113938505</c:v>
                </c:pt>
                <c:pt idx="23">
                  <c:v>0.34699962467202261</c:v>
                </c:pt>
                <c:pt idx="24">
                  <c:v>0.28917268138481256</c:v>
                </c:pt>
                <c:pt idx="25">
                  <c:v>0.42577450616784218</c:v>
                </c:pt>
                <c:pt idx="26">
                  <c:v>0.25471353202492875</c:v>
                </c:pt>
                <c:pt idx="27">
                  <c:v>0.3628178285608179</c:v>
                </c:pt>
                <c:pt idx="28">
                  <c:v>0.55583505681597534</c:v>
                </c:pt>
                <c:pt idx="29">
                  <c:v>0.58390782450953749</c:v>
                </c:pt>
                <c:pt idx="30">
                  <c:v>0.36046511841865936</c:v>
                </c:pt>
                <c:pt idx="31">
                  <c:v>-0.40108854162522833</c:v>
                </c:pt>
                <c:pt idx="32">
                  <c:v>-0.1275322700690168</c:v>
                </c:pt>
                <c:pt idx="33">
                  <c:v>1.506986464527138E-2</c:v>
                </c:pt>
                <c:pt idx="34">
                  <c:v>0.42411994511044426</c:v>
                </c:pt>
                <c:pt idx="35">
                  <c:v>0.6285736374774471</c:v>
                </c:pt>
                <c:pt idx="36">
                  <c:v>0.48962481323779294</c:v>
                </c:pt>
                <c:pt idx="37">
                  <c:v>0.50367526490714343</c:v>
                </c:pt>
                <c:pt idx="38">
                  <c:v>-0.17124441364859566</c:v>
                </c:pt>
                <c:pt idx="39">
                  <c:v>-0.32910967374155786</c:v>
                </c:pt>
                <c:pt idx="40">
                  <c:v>0.24099746797744226</c:v>
                </c:pt>
                <c:pt idx="41">
                  <c:v>0.35041262134801343</c:v>
                </c:pt>
                <c:pt idx="42">
                  <c:v>-8.6177890327280404E-2</c:v>
                </c:pt>
                <c:pt idx="43">
                  <c:v>8.4468089936115431E-2</c:v>
                </c:pt>
                <c:pt idx="44">
                  <c:v>-7.205881801854308E-2</c:v>
                </c:pt>
                <c:pt idx="45">
                  <c:v>0.44857473627591293</c:v>
                </c:pt>
                <c:pt idx="46">
                  <c:v>6.9536224611990161E-3</c:v>
                </c:pt>
                <c:pt idx="47">
                  <c:v>-0.16325498186536824</c:v>
                </c:pt>
                <c:pt idx="48">
                  <c:v>-0.49515171561905114</c:v>
                </c:pt>
                <c:pt idx="49">
                  <c:v>0.80385228710667089</c:v>
                </c:pt>
                <c:pt idx="50">
                  <c:v>-0.37462997916113072</c:v>
                </c:pt>
                <c:pt idx="51">
                  <c:v>1.0814983294938489</c:v>
                </c:pt>
                <c:pt idx="52">
                  <c:v>-0.18452971407698449</c:v>
                </c:pt>
                <c:pt idx="53">
                  <c:v>-0.44778363600951032</c:v>
                </c:pt>
                <c:pt idx="54">
                  <c:v>0.69097869977729465</c:v>
                </c:pt>
              </c:numCache>
            </c:numRef>
          </c:val>
          <c:smooth val="0"/>
          <c:extLst>
            <c:ext xmlns:c16="http://schemas.microsoft.com/office/drawing/2014/chart" uri="{C3380CC4-5D6E-409C-BE32-E72D297353CC}">
              <c16:uniqueId val="{00000000-3F46-004F-98E6-254C24A6B6F8}"/>
            </c:ext>
          </c:extLst>
        </c:ser>
        <c:ser>
          <c:idx val="1"/>
          <c:order val="1"/>
          <c:tx>
            <c:strRef>
              <c:f>pivot!$C$177:$C$178</c:f>
              <c:strCache>
                <c:ptCount val="1"/>
                <c:pt idx="0">
                  <c:v>Inflation, GDP deflator (annual)</c:v>
                </c:pt>
              </c:strCache>
            </c:strRef>
          </c:tx>
          <c:spPr>
            <a:ln w="28575" cap="rnd">
              <a:solidFill>
                <a:schemeClr val="accent1">
                  <a:tint val="77000"/>
                </a:schemeClr>
              </a:solidFill>
              <a:round/>
            </a:ln>
            <a:effectLst/>
          </c:spPr>
          <c:marker>
            <c:symbol val="none"/>
          </c:marker>
          <c:cat>
            <c:strRef>
              <c:f>pivot!$A$179:$A$234</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pivot!$C$179:$C$234</c:f>
              <c:numCache>
                <c:formatCode>0.00%</c:formatCode>
                <c:ptCount val="55"/>
                <c:pt idx="0">
                  <c:v>4.7220140023282085E-2</c:v>
                </c:pt>
                <c:pt idx="1">
                  <c:v>5.4644251791602302E-2</c:v>
                </c:pt>
                <c:pt idx="2">
                  <c:v>6.3881389287516868E-2</c:v>
                </c:pt>
                <c:pt idx="3">
                  <c:v>0.11847047061847996</c:v>
                </c:pt>
                <c:pt idx="4">
                  <c:v>0.16714355406778936</c:v>
                </c:pt>
                <c:pt idx="5">
                  <c:v>0.10484570374597027</c:v>
                </c:pt>
                <c:pt idx="6">
                  <c:v>9.2815220186309513E-2</c:v>
                </c:pt>
                <c:pt idx="7">
                  <c:v>9.6930856082707559E-2</c:v>
                </c:pt>
                <c:pt idx="8">
                  <c:v>7.7978014064391699E-2</c:v>
                </c:pt>
                <c:pt idx="9">
                  <c:v>0.11512247233014726</c:v>
                </c:pt>
                <c:pt idx="10">
                  <c:v>0.13053545689500751</c:v>
                </c:pt>
                <c:pt idx="11">
                  <c:v>0.10150714648163288</c:v>
                </c:pt>
                <c:pt idx="12">
                  <c:v>8.1130868418377841E-2</c:v>
                </c:pt>
                <c:pt idx="13">
                  <c:v>7.7252723865774725E-2</c:v>
                </c:pt>
                <c:pt idx="14">
                  <c:v>7.9232328482273851E-2</c:v>
                </c:pt>
                <c:pt idx="15">
                  <c:v>5.5268201428267785E-2</c:v>
                </c:pt>
                <c:pt idx="16">
                  <c:v>5.2394149768332739E-2</c:v>
                </c:pt>
                <c:pt idx="17">
                  <c:v>7.1763685109351702E-2</c:v>
                </c:pt>
                <c:pt idx="18">
                  <c:v>6.5134153194451094E-2</c:v>
                </c:pt>
                <c:pt idx="19">
                  <c:v>7.1477388277844375E-2</c:v>
                </c:pt>
                <c:pt idx="20">
                  <c:v>7.9878494717877044E-2</c:v>
                </c:pt>
                <c:pt idx="21">
                  <c:v>8.6656589447414584E-2</c:v>
                </c:pt>
                <c:pt idx="22">
                  <c:v>7.3440669291872498E-2</c:v>
                </c:pt>
                <c:pt idx="23">
                  <c:v>8.0858755320608683E-2</c:v>
                </c:pt>
                <c:pt idx="24">
                  <c:v>9.8081576345723953E-2</c:v>
                </c:pt>
                <c:pt idx="25">
                  <c:v>8.67596757855911E-2</c:v>
                </c:pt>
                <c:pt idx="26">
                  <c:v>6.61963807076031E-2</c:v>
                </c:pt>
                <c:pt idx="27">
                  <c:v>4.4565708952409792E-2</c:v>
                </c:pt>
                <c:pt idx="28">
                  <c:v>4.6919666498717587E-2</c:v>
                </c:pt>
                <c:pt idx="29">
                  <c:v>4.3396883849730589E-2</c:v>
                </c:pt>
                <c:pt idx="30">
                  <c:v>4.9368080115609135E-2</c:v>
                </c:pt>
                <c:pt idx="31">
                  <c:v>3.9615529171501719E-2</c:v>
                </c:pt>
                <c:pt idx="32">
                  <c:v>3.554213254560537E-2</c:v>
                </c:pt>
                <c:pt idx="33">
                  <c:v>3.9745624299609546E-2</c:v>
                </c:pt>
                <c:pt idx="34">
                  <c:v>5.7254132279322786E-2</c:v>
                </c:pt>
                <c:pt idx="35">
                  <c:v>5.6684356262420438E-2</c:v>
                </c:pt>
                <c:pt idx="36">
                  <c:v>5.8076608733047694E-2</c:v>
                </c:pt>
                <c:pt idx="37">
                  <c:v>5.8468923119352215E-2</c:v>
                </c:pt>
                <c:pt idx="38">
                  <c:v>7.8565864646320593E-2</c:v>
                </c:pt>
                <c:pt idx="39">
                  <c:v>2.1165450194592664E-2</c:v>
                </c:pt>
                <c:pt idx="40">
                  <c:v>4.2297849990792856E-2</c:v>
                </c:pt>
                <c:pt idx="41">
                  <c:v>5.4198247373878419E-2</c:v>
                </c:pt>
                <c:pt idx="42">
                  <c:v>3.6064342687494672E-2</c:v>
                </c:pt>
                <c:pt idx="43">
                  <c:v>2.2607706092235419E-2</c:v>
                </c:pt>
                <c:pt idx="44">
                  <c:v>2.031855177913627E-2</c:v>
                </c:pt>
                <c:pt idx="45">
                  <c:v>2.2926347015487066E-2</c:v>
                </c:pt>
                <c:pt idx="46">
                  <c:v>1.8952891356944404E-2</c:v>
                </c:pt>
                <c:pt idx="47">
                  <c:v>2.9702970297029764E-2</c:v>
                </c:pt>
                <c:pt idx="48">
                  <c:v>2.7896672091382656E-2</c:v>
                </c:pt>
                <c:pt idx="49">
                  <c:v>2.3381426807823614E-2</c:v>
                </c:pt>
                <c:pt idx="50">
                  <c:v>1.9014736130201298E-2</c:v>
                </c:pt>
                <c:pt idx="51">
                  <c:v>4.6247133783945953E-2</c:v>
                </c:pt>
                <c:pt idx="52">
                  <c:v>7.1552112070550816E-2</c:v>
                </c:pt>
                <c:pt idx="53">
                  <c:v>5.2772546442724888E-2</c:v>
                </c:pt>
                <c:pt idx="54">
                  <c:v>3.7620799566119703E-2</c:v>
                </c:pt>
              </c:numCache>
            </c:numRef>
          </c:val>
          <c:smooth val="0"/>
          <c:extLst>
            <c:ext xmlns:c16="http://schemas.microsoft.com/office/drawing/2014/chart" uri="{C3380CC4-5D6E-409C-BE32-E72D297353CC}">
              <c16:uniqueId val="{00000001-3F46-004F-98E6-254C24A6B6F8}"/>
            </c:ext>
          </c:extLst>
        </c:ser>
        <c:dLbls>
          <c:showLegendKey val="0"/>
          <c:showVal val="0"/>
          <c:showCatName val="0"/>
          <c:showSerName val="0"/>
          <c:showPercent val="0"/>
          <c:showBubbleSize val="0"/>
        </c:dLbls>
        <c:smooth val="0"/>
        <c:axId val="1521871423"/>
        <c:axId val="2000191632"/>
      </c:lineChart>
      <c:catAx>
        <c:axId val="152187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PL"/>
          </a:p>
        </c:txPr>
        <c:crossAx val="2000191632"/>
        <c:crossesAt val="-0.6"/>
        <c:auto val="1"/>
        <c:lblAlgn val="ctr"/>
        <c:lblOffset val="100"/>
        <c:noMultiLvlLbl val="0"/>
      </c:catAx>
      <c:valAx>
        <c:axId val="2000191632"/>
        <c:scaling>
          <c:orientation val="minMax"/>
        </c:scaling>
        <c:delete val="0"/>
        <c:axPos val="l"/>
        <c:majorGridlines>
          <c:spPr>
            <a:ln w="9525" cap="flat" cmpd="sng" algn="ctr">
              <a:solidFill>
                <a:schemeClr val="accent1"/>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crossAx val="152187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[FDI Analysis.xlsx]pivot!PivotTable1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Global FDI Trends and Volatility (Real Terms, 1970–2024)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pivot!$B$88:$B$89</c:f>
              <c:strCache>
                <c:ptCount val="1"/>
                <c:pt idx="0">
                  <c:v>Foreign direct investment, net inflows (BoP, constant 2024 USD, world aggregate, billions)</c:v>
                </c:pt>
              </c:strCache>
            </c:strRef>
          </c:tx>
          <c:spPr>
            <a:ln w="28575" cap="rnd">
              <a:solidFill>
                <a:schemeClr val="accent1">
                  <a:shade val="76000"/>
                </a:schemeClr>
              </a:solidFill>
              <a:round/>
            </a:ln>
            <a:effectLst/>
          </c:spPr>
          <c:marker>
            <c:symbol val="none"/>
          </c:marker>
          <c:cat>
            <c:strRef>
              <c:f>pivot!$A$90:$A$145</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pivot!$B$90:$B$145</c:f>
              <c:numCache>
                <c:formatCode>0.00</c:formatCode>
                <c:ptCount val="55"/>
                <c:pt idx="0">
                  <c:v>12.357585832741663</c:v>
                </c:pt>
                <c:pt idx="1">
                  <c:v>14.682921815914053</c:v>
                </c:pt>
                <c:pt idx="2">
                  <c:v>16.31121527575926</c:v>
                </c:pt>
                <c:pt idx="3">
                  <c:v>23.614514724117058</c:v>
                </c:pt>
                <c:pt idx="4">
                  <c:v>31.711438949238246</c:v>
                </c:pt>
                <c:pt idx="5">
                  <c:v>39.64029493828815</c:v>
                </c:pt>
                <c:pt idx="6">
                  <c:v>34.871442044471657</c:v>
                </c:pt>
                <c:pt idx="7">
                  <c:v>50.178112900762486</c:v>
                </c:pt>
                <c:pt idx="8">
                  <c:v>68.548140716383259</c:v>
                </c:pt>
                <c:pt idx="9">
                  <c:v>91.868832105355949</c:v>
                </c:pt>
                <c:pt idx="10">
                  <c:v>130.43683689002609</c:v>
                </c:pt>
                <c:pt idx="11">
                  <c:v>192.14589629062249</c:v>
                </c:pt>
                <c:pt idx="12">
                  <c:v>197.20049212032666</c:v>
                </c:pt>
                <c:pt idx="13">
                  <c:v>174.49080402301485</c:v>
                </c:pt>
                <c:pt idx="14">
                  <c:v>211.76305996335333</c:v>
                </c:pt>
                <c:pt idx="15">
                  <c:v>171.85529516826887</c:v>
                </c:pt>
                <c:pt idx="16">
                  <c:v>329.82138826037891</c:v>
                </c:pt>
                <c:pt idx="17">
                  <c:v>592.24763240987409</c:v>
                </c:pt>
                <c:pt idx="18">
                  <c:v>754.75029346819247</c:v>
                </c:pt>
                <c:pt idx="19">
                  <c:v>969.93709501800572</c:v>
                </c:pt>
                <c:pt idx="20">
                  <c:v>1243.0725792464661</c:v>
                </c:pt>
                <c:pt idx="21">
                  <c:v>980.86555128723262</c:v>
                </c:pt>
                <c:pt idx="22">
                  <c:v>1134.8255543359865</c:v>
                </c:pt>
                <c:pt idx="23">
                  <c:v>1528.6095957587938</c:v>
                </c:pt>
                <c:pt idx="24">
                  <c:v>1970.6417313549186</c:v>
                </c:pt>
                <c:pt idx="25">
                  <c:v>2809.6907413563008</c:v>
                </c:pt>
                <c:pt idx="26">
                  <c:v>3525.3569939849049</c:v>
                </c:pt>
                <c:pt idx="27">
                  <c:v>4804.4193634442008</c:v>
                </c:pt>
                <c:pt idx="28">
                  <c:v>7474.8840732919798</c:v>
                </c:pt>
                <c:pt idx="29">
                  <c:v>11839.52737098889</c:v>
                </c:pt>
                <c:pt idx="30">
                  <c:v>16107.264006793359</c:v>
                </c:pt>
                <c:pt idx="31">
                  <c:v>9646.8249767360794</c:v>
                </c:pt>
                <c:pt idx="32">
                  <c:v>8416.543488494437</c:v>
                </c:pt>
                <c:pt idx="33">
                  <c:v>8543.3796596470893</c:v>
                </c:pt>
                <c:pt idx="34">
                  <c:v>12166.797371954299</c:v>
                </c:pt>
                <c:pt idx="35">
                  <c:v>19814.525452494658</c:v>
                </c:pt>
                <c:pt idx="36">
                  <c:v>29516.208776567848</c:v>
                </c:pt>
                <c:pt idx="37">
                  <c:v>44382.79305116021</c:v>
                </c:pt>
                <c:pt idx="38">
                  <c:v>36782.487679027312</c:v>
                </c:pt>
                <c:pt idx="39">
                  <c:v>24677.015159579762</c:v>
                </c:pt>
                <c:pt idx="40">
                  <c:v>30624.113330279441</c:v>
                </c:pt>
                <c:pt idx="41">
                  <c:v>41355.189158801302</c:v>
                </c:pt>
                <c:pt idx="42">
                  <c:v>37791.28620301019</c:v>
                </c:pt>
                <c:pt idx="43">
                  <c:v>40983.443964807535</c:v>
                </c:pt>
                <c:pt idx="44">
                  <c:v>38030.225434374312</c:v>
                </c:pt>
                <c:pt idx="45">
                  <c:v>55089.623779112284</c:v>
                </c:pt>
                <c:pt idx="46">
                  <c:v>55472.696224401727</c:v>
                </c:pt>
                <c:pt idx="47">
                  <c:v>46416.502208263941</c:v>
                </c:pt>
                <c:pt idx="48">
                  <c:v>23433.291506806574</c:v>
                </c:pt>
                <c:pt idx="49">
                  <c:v>42270.196478990365</c:v>
                </c:pt>
                <c:pt idx="50">
                  <c:v>26434.513652929305</c:v>
                </c:pt>
                <c:pt idx="51">
                  <c:v>55023.396009554686</c:v>
                </c:pt>
                <c:pt idx="52">
                  <c:v>44869.944476366873</c:v>
                </c:pt>
                <c:pt idx="53">
                  <c:v>24777.917591194473</c:v>
                </c:pt>
                <c:pt idx="54">
                  <c:v>41898.930871546989</c:v>
                </c:pt>
              </c:numCache>
            </c:numRef>
          </c:val>
          <c:smooth val="0"/>
          <c:extLst>
            <c:ext xmlns:c16="http://schemas.microsoft.com/office/drawing/2014/chart" uri="{C3380CC4-5D6E-409C-BE32-E72D297353CC}">
              <c16:uniqueId val="{00000000-D94D-D044-8453-5F759756A1D1}"/>
            </c:ext>
          </c:extLst>
        </c:ser>
        <c:ser>
          <c:idx val="1"/>
          <c:order val="1"/>
          <c:tx>
            <c:strRef>
              <c:f>pivot!$C$88:$C$89</c:f>
              <c:strCache>
                <c:ptCount val="1"/>
                <c:pt idx="0">
                  <c:v>Foreign direct investment, net inflows (BoP, constant 2024 USD, world aggregate, billions). 5-Year Rolling Average</c:v>
                </c:pt>
              </c:strCache>
            </c:strRef>
          </c:tx>
          <c:spPr>
            <a:ln w="28575" cap="rnd">
              <a:solidFill>
                <a:schemeClr val="accent1">
                  <a:tint val="77000"/>
                </a:schemeClr>
              </a:solidFill>
              <a:round/>
            </a:ln>
            <a:effectLst/>
          </c:spPr>
          <c:marker>
            <c:symbol val="none"/>
          </c:marker>
          <c:cat>
            <c:strRef>
              <c:f>pivot!$A$90:$A$145</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pivot!$C$90:$C$145</c:f>
              <c:numCache>
                <c:formatCode>0.00</c:formatCode>
                <c:ptCount val="55"/>
                <c:pt idx="0">
                  <c:v>12.357585832741663</c:v>
                </c:pt>
                <c:pt idx="1">
                  <c:v>13.520253824327858</c:v>
                </c:pt>
                <c:pt idx="2">
                  <c:v>14.450574308138327</c:v>
                </c:pt>
                <c:pt idx="3">
                  <c:v>16.741559412133007</c:v>
                </c:pt>
                <c:pt idx="4">
                  <c:v>19.735535319554057</c:v>
                </c:pt>
                <c:pt idx="5">
                  <c:v>25.192077140663351</c:v>
                </c:pt>
                <c:pt idx="6">
                  <c:v>29.229781186374876</c:v>
                </c:pt>
                <c:pt idx="7">
                  <c:v>36.003160711375514</c:v>
                </c:pt>
                <c:pt idx="8">
                  <c:v>44.989885909828757</c:v>
                </c:pt>
                <c:pt idx="9">
                  <c:v>57.0213645410523</c:v>
                </c:pt>
                <c:pt idx="10">
                  <c:v>75.180672931399897</c:v>
                </c:pt>
                <c:pt idx="11">
                  <c:v>106.63556378063005</c:v>
                </c:pt>
                <c:pt idx="12">
                  <c:v>136.04003962454289</c:v>
                </c:pt>
                <c:pt idx="13">
                  <c:v>157.22857228586921</c:v>
                </c:pt>
                <c:pt idx="14">
                  <c:v>181.20741785746867</c:v>
                </c:pt>
                <c:pt idx="15">
                  <c:v>189.49110951311724</c:v>
                </c:pt>
                <c:pt idx="16">
                  <c:v>217.02620790706848</c:v>
                </c:pt>
                <c:pt idx="17">
                  <c:v>296.03563596497804</c:v>
                </c:pt>
                <c:pt idx="18">
                  <c:v>412.08753385401354</c:v>
                </c:pt>
                <c:pt idx="19">
                  <c:v>563.72234086494404</c:v>
                </c:pt>
                <c:pt idx="20">
                  <c:v>777.96579768058348</c:v>
                </c:pt>
                <c:pt idx="21">
                  <c:v>908.17463028595432</c:v>
                </c:pt>
                <c:pt idx="22">
                  <c:v>1016.6902146711766</c:v>
                </c:pt>
                <c:pt idx="23">
                  <c:v>1171.4620751292971</c:v>
                </c:pt>
                <c:pt idx="24">
                  <c:v>1371.6030023966796</c:v>
                </c:pt>
                <c:pt idx="25">
                  <c:v>1684.9266348186463</c:v>
                </c:pt>
                <c:pt idx="26">
                  <c:v>2193.824923358181</c:v>
                </c:pt>
                <c:pt idx="27">
                  <c:v>2927.7436851798234</c:v>
                </c:pt>
                <c:pt idx="28">
                  <c:v>4116.9985806864615</c:v>
                </c:pt>
                <c:pt idx="29">
                  <c:v>6090.775708613256</c:v>
                </c:pt>
                <c:pt idx="30">
                  <c:v>8750.2903617006668</c:v>
                </c:pt>
                <c:pt idx="31">
                  <c:v>9974.5839582509016</c:v>
                </c:pt>
                <c:pt idx="32">
                  <c:v>10697.008783260952</c:v>
                </c:pt>
                <c:pt idx="33">
                  <c:v>10910.707900531972</c:v>
                </c:pt>
                <c:pt idx="34">
                  <c:v>10976.161900725054</c:v>
                </c:pt>
                <c:pt idx="35">
                  <c:v>11717.614189865313</c:v>
                </c:pt>
                <c:pt idx="36">
                  <c:v>15691.490949831665</c:v>
                </c:pt>
                <c:pt idx="37">
                  <c:v>22884.740862364823</c:v>
                </c:pt>
                <c:pt idx="38">
                  <c:v>28532.562466240863</c:v>
                </c:pt>
                <c:pt idx="39">
                  <c:v>31034.606023765959</c:v>
                </c:pt>
                <c:pt idx="40">
                  <c:v>33196.523599322914</c:v>
                </c:pt>
                <c:pt idx="41">
                  <c:v>35564.319675769606</c:v>
                </c:pt>
                <c:pt idx="42">
                  <c:v>34246.018306139602</c:v>
                </c:pt>
                <c:pt idx="43">
                  <c:v>35086.209563295648</c:v>
                </c:pt>
                <c:pt idx="44">
                  <c:v>37756.851618254557</c:v>
                </c:pt>
                <c:pt idx="45">
                  <c:v>42649.953708021116</c:v>
                </c:pt>
                <c:pt idx="46">
                  <c:v>45473.455121141211</c:v>
                </c:pt>
                <c:pt idx="47">
                  <c:v>47198.498322191954</c:v>
                </c:pt>
                <c:pt idx="48">
                  <c:v>43688.46783059177</c:v>
                </c:pt>
                <c:pt idx="49">
                  <c:v>44536.462039514983</c:v>
                </c:pt>
                <c:pt idx="50">
                  <c:v>38805.440014278392</c:v>
                </c:pt>
                <c:pt idx="51">
                  <c:v>38715.57997130898</c:v>
                </c:pt>
                <c:pt idx="52">
                  <c:v>38406.268424929556</c:v>
                </c:pt>
                <c:pt idx="53">
                  <c:v>38675.193641807149</c:v>
                </c:pt>
                <c:pt idx="54">
                  <c:v>38600.940520318465</c:v>
                </c:pt>
              </c:numCache>
            </c:numRef>
          </c:val>
          <c:smooth val="0"/>
          <c:extLst>
            <c:ext xmlns:c16="http://schemas.microsoft.com/office/drawing/2014/chart" uri="{C3380CC4-5D6E-409C-BE32-E72D297353CC}">
              <c16:uniqueId val="{00000004-D94D-D044-8453-5F759756A1D1}"/>
            </c:ext>
          </c:extLst>
        </c:ser>
        <c:dLbls>
          <c:showLegendKey val="0"/>
          <c:showVal val="0"/>
          <c:showCatName val="0"/>
          <c:showSerName val="0"/>
          <c:showPercent val="0"/>
          <c:showBubbleSize val="0"/>
        </c:dLbls>
        <c:smooth val="0"/>
        <c:axId val="868877343"/>
        <c:axId val="1052565423"/>
      </c:lineChart>
      <c:catAx>
        <c:axId val="86887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1052565423"/>
        <c:crosses val="autoZero"/>
        <c:auto val="1"/>
        <c:lblAlgn val="ctr"/>
        <c:lblOffset val="100"/>
        <c:noMultiLvlLbl val="0"/>
      </c:catAx>
      <c:valAx>
        <c:axId val="10525654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86887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[FDI Analysis.xlsx]pivot!PivotTable4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FDI Volatility vs Global Inflation (1970–2024)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pivot!$B$177:$B$178</c:f>
              <c:strCache>
                <c:ptCount val="1"/>
                <c:pt idx="0">
                  <c:v>Foreign direct investment, net inflows (BoP, constant 2024 USD, world aggregate, billions). YoY % change</c:v>
                </c:pt>
              </c:strCache>
            </c:strRef>
          </c:tx>
          <c:spPr>
            <a:ln w="28575" cap="rnd">
              <a:solidFill>
                <a:schemeClr val="accent1">
                  <a:shade val="76000"/>
                </a:schemeClr>
              </a:solidFill>
              <a:round/>
            </a:ln>
            <a:effectLst/>
          </c:spPr>
          <c:marker>
            <c:symbol val="none"/>
          </c:marker>
          <c:cat>
            <c:strRef>
              <c:f>pivot!$A$179:$A$234</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pivot!$B$179:$B$234</c:f>
              <c:numCache>
                <c:formatCode>0.00%</c:formatCode>
                <c:ptCount val="55"/>
                <c:pt idx="0">
                  <c:v>0</c:v>
                </c:pt>
                <c:pt idx="1">
                  <c:v>0.18817073291219777</c:v>
                </c:pt>
                <c:pt idx="2">
                  <c:v>0.11089710074464776</c:v>
                </c:pt>
                <c:pt idx="3">
                  <c:v>0.44774710681499741</c:v>
                </c:pt>
                <c:pt idx="4">
                  <c:v>0.34287912835456047</c:v>
                </c:pt>
                <c:pt idx="5">
                  <c:v>0.25003141616316871</c:v>
                </c:pt>
                <c:pt idx="6">
                  <c:v>-0.12030316376910477</c:v>
                </c:pt>
                <c:pt idx="7">
                  <c:v>0.43894573779800061</c:v>
                </c:pt>
                <c:pt idx="8">
                  <c:v>0.36609642638317763</c:v>
                </c:pt>
                <c:pt idx="9">
                  <c:v>0.34020895600161705</c:v>
                </c:pt>
                <c:pt idx="10">
                  <c:v>0.41981599091670208</c:v>
                </c:pt>
                <c:pt idx="11">
                  <c:v>0.47309533772752044</c:v>
                </c:pt>
                <c:pt idx="12">
                  <c:v>2.6306030611546571E-2</c:v>
                </c:pt>
                <c:pt idx="13">
                  <c:v>-0.11516040276134276</c:v>
                </c:pt>
                <c:pt idx="14">
                  <c:v>0.21360584673231475</c:v>
                </c:pt>
                <c:pt idx="15">
                  <c:v>-0.18845479849975111</c:v>
                </c:pt>
                <c:pt idx="16">
                  <c:v>0.91918083139329831</c:v>
                </c:pt>
                <c:pt idx="17">
                  <c:v>0.79566169293521272</c:v>
                </c:pt>
                <c:pt idx="18">
                  <c:v>0.2743829644317699</c:v>
                </c:pt>
                <c:pt idx="19">
                  <c:v>0.28510992763049781</c:v>
                </c:pt>
                <c:pt idx="20">
                  <c:v>0.28160123541144699</c:v>
                </c:pt>
                <c:pt idx="21">
                  <c:v>-0.21093460859556556</c:v>
                </c:pt>
                <c:pt idx="22">
                  <c:v>0.1569634113938505</c:v>
                </c:pt>
                <c:pt idx="23">
                  <c:v>0.34699962467202261</c:v>
                </c:pt>
                <c:pt idx="24">
                  <c:v>0.28917268138481256</c:v>
                </c:pt>
                <c:pt idx="25">
                  <c:v>0.42577450616784218</c:v>
                </c:pt>
                <c:pt idx="26">
                  <c:v>0.25471353202492875</c:v>
                </c:pt>
                <c:pt idx="27">
                  <c:v>0.3628178285608179</c:v>
                </c:pt>
                <c:pt idx="28">
                  <c:v>0.55583505681597534</c:v>
                </c:pt>
                <c:pt idx="29">
                  <c:v>0.58390782450953749</c:v>
                </c:pt>
                <c:pt idx="30">
                  <c:v>0.36046511841865936</c:v>
                </c:pt>
                <c:pt idx="31">
                  <c:v>-0.40108854162522833</c:v>
                </c:pt>
                <c:pt idx="32">
                  <c:v>-0.1275322700690168</c:v>
                </c:pt>
                <c:pt idx="33">
                  <c:v>1.506986464527138E-2</c:v>
                </c:pt>
                <c:pt idx="34">
                  <c:v>0.42411994511044426</c:v>
                </c:pt>
                <c:pt idx="35">
                  <c:v>0.6285736374774471</c:v>
                </c:pt>
                <c:pt idx="36">
                  <c:v>0.48962481323779294</c:v>
                </c:pt>
                <c:pt idx="37">
                  <c:v>0.50367526490714343</c:v>
                </c:pt>
                <c:pt idx="38">
                  <c:v>-0.17124441364859566</c:v>
                </c:pt>
                <c:pt idx="39">
                  <c:v>-0.32910967374155786</c:v>
                </c:pt>
                <c:pt idx="40">
                  <c:v>0.24099746797744226</c:v>
                </c:pt>
                <c:pt idx="41">
                  <c:v>0.35041262134801343</c:v>
                </c:pt>
                <c:pt idx="42">
                  <c:v>-8.6177890327280404E-2</c:v>
                </c:pt>
                <c:pt idx="43">
                  <c:v>8.4468089936115431E-2</c:v>
                </c:pt>
                <c:pt idx="44">
                  <c:v>-7.205881801854308E-2</c:v>
                </c:pt>
                <c:pt idx="45">
                  <c:v>0.44857473627591293</c:v>
                </c:pt>
                <c:pt idx="46">
                  <c:v>6.9536224611990161E-3</c:v>
                </c:pt>
                <c:pt idx="47">
                  <c:v>-0.16325498186536824</c:v>
                </c:pt>
                <c:pt idx="48">
                  <c:v>-0.49515171561905114</c:v>
                </c:pt>
                <c:pt idx="49">
                  <c:v>0.80385228710667089</c:v>
                </c:pt>
                <c:pt idx="50">
                  <c:v>-0.37462997916113072</c:v>
                </c:pt>
                <c:pt idx="51">
                  <c:v>1.0814983294938489</c:v>
                </c:pt>
                <c:pt idx="52">
                  <c:v>-0.18452971407698449</c:v>
                </c:pt>
                <c:pt idx="53">
                  <c:v>-0.44778363600951032</c:v>
                </c:pt>
                <c:pt idx="54">
                  <c:v>0.69097869977729465</c:v>
                </c:pt>
              </c:numCache>
            </c:numRef>
          </c:val>
          <c:smooth val="0"/>
          <c:extLst>
            <c:ext xmlns:c16="http://schemas.microsoft.com/office/drawing/2014/chart" uri="{C3380CC4-5D6E-409C-BE32-E72D297353CC}">
              <c16:uniqueId val="{00000000-33E6-5A4E-9DE6-0A4CFA406D88}"/>
            </c:ext>
          </c:extLst>
        </c:ser>
        <c:ser>
          <c:idx val="1"/>
          <c:order val="1"/>
          <c:tx>
            <c:strRef>
              <c:f>pivot!$C$177:$C$178</c:f>
              <c:strCache>
                <c:ptCount val="1"/>
                <c:pt idx="0">
                  <c:v>Inflation, GDP deflator (annual)</c:v>
                </c:pt>
              </c:strCache>
            </c:strRef>
          </c:tx>
          <c:spPr>
            <a:ln w="28575" cap="rnd">
              <a:solidFill>
                <a:schemeClr val="accent1">
                  <a:tint val="77000"/>
                </a:schemeClr>
              </a:solidFill>
              <a:round/>
            </a:ln>
            <a:effectLst/>
          </c:spPr>
          <c:marker>
            <c:symbol val="none"/>
          </c:marker>
          <c:cat>
            <c:strRef>
              <c:f>pivot!$A$179:$A$234</c:f>
              <c:strCach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strCache>
            </c:strRef>
          </c:cat>
          <c:val>
            <c:numRef>
              <c:f>pivot!$C$179:$C$234</c:f>
              <c:numCache>
                <c:formatCode>0.00%</c:formatCode>
                <c:ptCount val="55"/>
                <c:pt idx="0">
                  <c:v>4.7220140023282085E-2</c:v>
                </c:pt>
                <c:pt idx="1">
                  <c:v>5.4644251791602302E-2</c:v>
                </c:pt>
                <c:pt idx="2">
                  <c:v>6.3881389287516868E-2</c:v>
                </c:pt>
                <c:pt idx="3">
                  <c:v>0.11847047061847996</c:v>
                </c:pt>
                <c:pt idx="4">
                  <c:v>0.16714355406778936</c:v>
                </c:pt>
                <c:pt idx="5">
                  <c:v>0.10484570374597027</c:v>
                </c:pt>
                <c:pt idx="6">
                  <c:v>9.2815220186309513E-2</c:v>
                </c:pt>
                <c:pt idx="7">
                  <c:v>9.6930856082707559E-2</c:v>
                </c:pt>
                <c:pt idx="8">
                  <c:v>7.7978014064391699E-2</c:v>
                </c:pt>
                <c:pt idx="9">
                  <c:v>0.11512247233014726</c:v>
                </c:pt>
                <c:pt idx="10">
                  <c:v>0.13053545689500751</c:v>
                </c:pt>
                <c:pt idx="11">
                  <c:v>0.10150714648163288</c:v>
                </c:pt>
                <c:pt idx="12">
                  <c:v>8.1130868418377841E-2</c:v>
                </c:pt>
                <c:pt idx="13">
                  <c:v>7.7252723865774725E-2</c:v>
                </c:pt>
                <c:pt idx="14">
                  <c:v>7.9232328482273851E-2</c:v>
                </c:pt>
                <c:pt idx="15">
                  <c:v>5.5268201428267785E-2</c:v>
                </c:pt>
                <c:pt idx="16">
                  <c:v>5.2394149768332739E-2</c:v>
                </c:pt>
                <c:pt idx="17">
                  <c:v>7.1763685109351702E-2</c:v>
                </c:pt>
                <c:pt idx="18">
                  <c:v>6.5134153194451094E-2</c:v>
                </c:pt>
                <c:pt idx="19">
                  <c:v>7.1477388277844375E-2</c:v>
                </c:pt>
                <c:pt idx="20">
                  <c:v>7.9878494717877044E-2</c:v>
                </c:pt>
                <c:pt idx="21">
                  <c:v>8.6656589447414584E-2</c:v>
                </c:pt>
                <c:pt idx="22">
                  <c:v>7.3440669291872498E-2</c:v>
                </c:pt>
                <c:pt idx="23">
                  <c:v>8.0858755320608683E-2</c:v>
                </c:pt>
                <c:pt idx="24">
                  <c:v>9.8081576345723953E-2</c:v>
                </c:pt>
                <c:pt idx="25">
                  <c:v>8.67596757855911E-2</c:v>
                </c:pt>
                <c:pt idx="26">
                  <c:v>6.61963807076031E-2</c:v>
                </c:pt>
                <c:pt idx="27">
                  <c:v>4.4565708952409792E-2</c:v>
                </c:pt>
                <c:pt idx="28">
                  <c:v>4.6919666498717587E-2</c:v>
                </c:pt>
                <c:pt idx="29">
                  <c:v>4.3396883849730589E-2</c:v>
                </c:pt>
                <c:pt idx="30">
                  <c:v>4.9368080115609135E-2</c:v>
                </c:pt>
                <c:pt idx="31">
                  <c:v>3.9615529171501719E-2</c:v>
                </c:pt>
                <c:pt idx="32">
                  <c:v>3.554213254560537E-2</c:v>
                </c:pt>
                <c:pt idx="33">
                  <c:v>3.9745624299609546E-2</c:v>
                </c:pt>
                <c:pt idx="34">
                  <c:v>5.7254132279322786E-2</c:v>
                </c:pt>
                <c:pt idx="35">
                  <c:v>5.6684356262420438E-2</c:v>
                </c:pt>
                <c:pt idx="36">
                  <c:v>5.8076608733047694E-2</c:v>
                </c:pt>
                <c:pt idx="37">
                  <c:v>5.8468923119352215E-2</c:v>
                </c:pt>
                <c:pt idx="38">
                  <c:v>7.8565864646320593E-2</c:v>
                </c:pt>
                <c:pt idx="39">
                  <c:v>2.1165450194592664E-2</c:v>
                </c:pt>
                <c:pt idx="40">
                  <c:v>4.2297849990792856E-2</c:v>
                </c:pt>
                <c:pt idx="41">
                  <c:v>5.4198247373878419E-2</c:v>
                </c:pt>
                <c:pt idx="42">
                  <c:v>3.6064342687494672E-2</c:v>
                </c:pt>
                <c:pt idx="43">
                  <c:v>2.2607706092235419E-2</c:v>
                </c:pt>
                <c:pt idx="44">
                  <c:v>2.031855177913627E-2</c:v>
                </c:pt>
                <c:pt idx="45">
                  <c:v>2.2926347015487066E-2</c:v>
                </c:pt>
                <c:pt idx="46">
                  <c:v>1.8952891356944404E-2</c:v>
                </c:pt>
                <c:pt idx="47">
                  <c:v>2.9702970297029764E-2</c:v>
                </c:pt>
                <c:pt idx="48">
                  <c:v>2.7896672091382656E-2</c:v>
                </c:pt>
                <c:pt idx="49">
                  <c:v>2.3381426807823614E-2</c:v>
                </c:pt>
                <c:pt idx="50">
                  <c:v>1.9014736130201298E-2</c:v>
                </c:pt>
                <c:pt idx="51">
                  <c:v>4.6247133783945953E-2</c:v>
                </c:pt>
                <c:pt idx="52">
                  <c:v>7.1552112070550816E-2</c:v>
                </c:pt>
                <c:pt idx="53">
                  <c:v>5.2772546442724888E-2</c:v>
                </c:pt>
                <c:pt idx="54">
                  <c:v>3.7620799566119703E-2</c:v>
                </c:pt>
              </c:numCache>
            </c:numRef>
          </c:val>
          <c:smooth val="0"/>
          <c:extLst>
            <c:ext xmlns:c16="http://schemas.microsoft.com/office/drawing/2014/chart" uri="{C3380CC4-5D6E-409C-BE32-E72D297353CC}">
              <c16:uniqueId val="{00000001-33E6-5A4E-9DE6-0A4CFA406D88}"/>
            </c:ext>
          </c:extLst>
        </c:ser>
        <c:dLbls>
          <c:showLegendKey val="0"/>
          <c:showVal val="0"/>
          <c:showCatName val="0"/>
          <c:showSerName val="0"/>
          <c:showPercent val="0"/>
          <c:showBubbleSize val="0"/>
        </c:dLbls>
        <c:smooth val="0"/>
        <c:axId val="1521871423"/>
        <c:axId val="2000191632"/>
      </c:lineChart>
      <c:catAx>
        <c:axId val="152187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000191632"/>
        <c:crossesAt val="-0.6"/>
        <c:auto val="1"/>
        <c:lblAlgn val="ctr"/>
        <c:lblOffset val="100"/>
        <c:noMultiLvlLbl val="0"/>
      </c:catAx>
      <c:valAx>
        <c:axId val="2000191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152187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288</xdr:colOff>
      <xdr:row>17</xdr:row>
      <xdr:rowOff>93548</xdr:rowOff>
    </xdr:from>
    <xdr:to>
      <xdr:col>22</xdr:col>
      <xdr:colOff>796</xdr:colOff>
      <xdr:row>23</xdr:row>
      <xdr:rowOff>4704</xdr:rowOff>
    </xdr:to>
    <mc:AlternateContent xmlns:mc="http://schemas.openxmlformats.org/markup-compatibility/2006">
      <mc:Choice xmlns:a14="http://schemas.microsoft.com/office/drawing/2010/main" Requires="a14">
        <xdr:graphicFrame macro="">
          <xdr:nvGraphicFramePr>
            <xdr:cNvPr id="6" name="Index type 3">
              <a:extLst>
                <a:ext uri="{FF2B5EF4-FFF2-40B4-BE49-F238E27FC236}">
                  <a16:creationId xmlns:a16="http://schemas.microsoft.com/office/drawing/2014/main" id="{0CA84C78-C779-F996-3CB6-4D2554779257}"/>
                </a:ext>
              </a:extLst>
            </xdr:cNvPr>
            <xdr:cNvGraphicFramePr/>
          </xdr:nvGraphicFramePr>
          <xdr:xfrm>
            <a:off x="0" y="0"/>
            <a:ext cx="0" cy="0"/>
          </xdr:xfrm>
          <a:graphic>
            <a:graphicData uri="http://schemas.microsoft.com/office/drawing/2010/slicer">
              <sle:slicer xmlns:sle="http://schemas.microsoft.com/office/drawing/2010/slicer" name="Index type 3"/>
            </a:graphicData>
          </a:graphic>
        </xdr:graphicFrame>
      </mc:Choice>
      <mc:Fallback>
        <xdr:sp macro="" textlink="">
          <xdr:nvSpPr>
            <xdr:cNvPr id="0" name=""/>
            <xdr:cNvSpPr>
              <a:spLocks noTextEdit="1"/>
            </xdr:cNvSpPr>
          </xdr:nvSpPr>
          <xdr:spPr>
            <a:xfrm>
              <a:off x="8226424" y="3528321"/>
              <a:ext cx="9871872" cy="11234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xdr:rowOff>
    </xdr:from>
    <xdr:to>
      <xdr:col>10</xdr:col>
      <xdr:colOff>0</xdr:colOff>
      <xdr:row>23</xdr:row>
      <xdr:rowOff>11478</xdr:rowOff>
    </xdr:to>
    <xdr:graphicFrame macro="">
      <xdr:nvGraphicFramePr>
        <xdr:cNvPr id="2" name="Chart 1">
          <a:extLst>
            <a:ext uri="{FF2B5EF4-FFF2-40B4-BE49-F238E27FC236}">
              <a16:creationId xmlns:a16="http://schemas.microsoft.com/office/drawing/2014/main" id="{47851200-EB5D-3A41-99EE-B3AEA8628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825499</xdr:colOff>
      <xdr:row>0</xdr:row>
      <xdr:rowOff>0</xdr:rowOff>
    </xdr:from>
    <xdr:to>
      <xdr:col>22</xdr:col>
      <xdr:colOff>507</xdr:colOff>
      <xdr:row>17</xdr:row>
      <xdr:rowOff>105168</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90B8EFC4-4A8E-1C44-821D-EE786229194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229022" y="0"/>
              <a:ext cx="9868985" cy="3539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7263</xdr:colOff>
      <xdr:row>24</xdr:row>
      <xdr:rowOff>0</xdr:rowOff>
    </xdr:from>
    <xdr:to>
      <xdr:col>10</xdr:col>
      <xdr:colOff>288</xdr:colOff>
      <xdr:row>46</xdr:row>
      <xdr:rowOff>118519</xdr:rowOff>
    </xdr:to>
    <xdr:graphicFrame macro="">
      <xdr:nvGraphicFramePr>
        <xdr:cNvPr id="18" name="Chart 17">
          <a:extLst>
            <a:ext uri="{FF2B5EF4-FFF2-40B4-BE49-F238E27FC236}">
              <a16:creationId xmlns:a16="http://schemas.microsoft.com/office/drawing/2014/main" id="{EA6C3958-EFDA-AC75-1650-91CFBADB2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7262</xdr:colOff>
      <xdr:row>46</xdr:row>
      <xdr:rowOff>118517</xdr:rowOff>
    </xdr:from>
    <xdr:to>
      <xdr:col>10</xdr:col>
      <xdr:colOff>1256</xdr:colOff>
      <xdr:row>52</xdr:row>
      <xdr:rowOff>1395</xdr:rowOff>
    </xdr:to>
    <mc:AlternateContent xmlns:mc="http://schemas.openxmlformats.org/markup-compatibility/2006">
      <mc:Choice xmlns:a14="http://schemas.microsoft.com/office/drawing/2010/main" Requires="a14">
        <xdr:graphicFrame macro="">
          <xdr:nvGraphicFramePr>
            <xdr:cNvPr id="19" name="Index type 5">
              <a:extLst>
                <a:ext uri="{FF2B5EF4-FFF2-40B4-BE49-F238E27FC236}">
                  <a16:creationId xmlns:a16="http://schemas.microsoft.com/office/drawing/2014/main" id="{B67C22CD-3B0E-1EF1-E2F9-D16D75372A8B}"/>
                </a:ext>
              </a:extLst>
            </xdr:cNvPr>
            <xdr:cNvGraphicFramePr/>
          </xdr:nvGraphicFramePr>
          <xdr:xfrm>
            <a:off x="0" y="0"/>
            <a:ext cx="0" cy="0"/>
          </xdr:xfrm>
          <a:graphic>
            <a:graphicData uri="http://schemas.microsoft.com/office/drawing/2010/slicer">
              <sle:slicer xmlns:sle="http://schemas.microsoft.com/office/drawing/2010/slicer" name="Index type 5"/>
            </a:graphicData>
          </a:graphic>
        </xdr:graphicFrame>
      </mc:Choice>
      <mc:Fallback>
        <xdr:sp macro="" textlink="">
          <xdr:nvSpPr>
            <xdr:cNvPr id="0" name=""/>
            <xdr:cNvSpPr>
              <a:spLocks noTextEdit="1"/>
            </xdr:cNvSpPr>
          </xdr:nvSpPr>
          <xdr:spPr>
            <a:xfrm>
              <a:off x="7262" y="9268290"/>
              <a:ext cx="8220130" cy="13837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24</xdr:row>
      <xdr:rowOff>0</xdr:rowOff>
    </xdr:from>
    <xdr:to>
      <xdr:col>22</xdr:col>
      <xdr:colOff>0</xdr:colOff>
      <xdr:row>40</xdr:row>
      <xdr:rowOff>0</xdr:rowOff>
    </xdr:to>
    <xdr:graphicFrame macro="">
      <xdr:nvGraphicFramePr>
        <xdr:cNvPr id="20" name="Chart 19">
          <a:extLst>
            <a:ext uri="{FF2B5EF4-FFF2-40B4-BE49-F238E27FC236}">
              <a16:creationId xmlns:a16="http://schemas.microsoft.com/office/drawing/2014/main" id="{D045A630-CA20-ED4A-B56C-CE48E31DE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122</xdr:colOff>
      <xdr:row>40</xdr:row>
      <xdr:rowOff>2970</xdr:rowOff>
    </xdr:from>
    <xdr:to>
      <xdr:col>22</xdr:col>
      <xdr:colOff>4052</xdr:colOff>
      <xdr:row>51</xdr:row>
      <xdr:rowOff>385478</xdr:rowOff>
    </xdr:to>
    <mc:AlternateContent xmlns:mc="http://schemas.openxmlformats.org/markup-compatibility/2006">
      <mc:Choice xmlns:a14="http://schemas.microsoft.com/office/drawing/2010/main" Requires="a14">
        <xdr:graphicFrame macro="">
          <xdr:nvGraphicFramePr>
            <xdr:cNvPr id="21" name="Year 5">
              <a:extLst>
                <a:ext uri="{FF2B5EF4-FFF2-40B4-BE49-F238E27FC236}">
                  <a16:creationId xmlns:a16="http://schemas.microsoft.com/office/drawing/2014/main" id="{600C283E-5114-5444-9F1B-86DAAB6244AD}"/>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dr:sp macro="" textlink="">
          <xdr:nvSpPr>
            <xdr:cNvPr id="0" name=""/>
            <xdr:cNvSpPr>
              <a:spLocks noTextEdit="1"/>
            </xdr:cNvSpPr>
          </xdr:nvSpPr>
          <xdr:spPr>
            <a:xfrm>
              <a:off x="8283986" y="7940470"/>
              <a:ext cx="9817566" cy="27060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2094585</xdr:colOff>
      <xdr:row>19</xdr:row>
      <xdr:rowOff>151971</xdr:rowOff>
    </xdr:from>
    <xdr:to>
      <xdr:col>15</xdr:col>
      <xdr:colOff>654292</xdr:colOff>
      <xdr:row>31</xdr:row>
      <xdr:rowOff>119066</xdr:rowOff>
    </xdr:to>
    <mc:AlternateContent xmlns:mc="http://schemas.openxmlformats.org/markup-compatibility/2006" xmlns:a14="http://schemas.microsoft.com/office/drawing/2010/main">
      <mc:Choice Requires="a14">
        <xdr:graphicFrame macro="">
          <xdr:nvGraphicFramePr>
            <xdr:cNvPr id="6" name="Index type">
              <a:extLst>
                <a:ext uri="{FF2B5EF4-FFF2-40B4-BE49-F238E27FC236}">
                  <a16:creationId xmlns:a16="http://schemas.microsoft.com/office/drawing/2014/main" id="{A74B2930-EB1D-1374-FE12-B00783901DE3}"/>
                </a:ext>
              </a:extLst>
            </xdr:cNvPr>
            <xdr:cNvGraphicFramePr/>
          </xdr:nvGraphicFramePr>
          <xdr:xfrm>
            <a:off x="0" y="0"/>
            <a:ext cx="0" cy="0"/>
          </xdr:xfrm>
          <a:graphic>
            <a:graphicData uri="http://schemas.microsoft.com/office/drawing/2010/slicer">
              <sle:slicer xmlns:sle="http://schemas.microsoft.com/office/drawing/2010/slicer" name="Index type"/>
            </a:graphicData>
          </a:graphic>
        </xdr:graphicFrame>
      </mc:Choice>
      <mc:Fallback xmlns="">
        <xdr:sp macro="" textlink="">
          <xdr:nvSpPr>
            <xdr:cNvPr id="0" name=""/>
            <xdr:cNvSpPr>
              <a:spLocks noTextEdit="1"/>
            </xdr:cNvSpPr>
          </xdr:nvSpPr>
          <xdr:spPr>
            <a:xfrm>
              <a:off x="25199404" y="3931369"/>
              <a:ext cx="9760188" cy="23540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1058333</xdr:colOff>
      <xdr:row>87</xdr:row>
      <xdr:rowOff>184149</xdr:rowOff>
    </xdr:from>
    <xdr:to>
      <xdr:col>6</xdr:col>
      <xdr:colOff>952500</xdr:colOff>
      <xdr:row>112</xdr:row>
      <xdr:rowOff>42333</xdr:rowOff>
    </xdr:to>
    <xdr:graphicFrame macro="">
      <xdr:nvGraphicFramePr>
        <xdr:cNvPr id="7" name="Chart 6">
          <a:extLst>
            <a:ext uri="{FF2B5EF4-FFF2-40B4-BE49-F238E27FC236}">
              <a16:creationId xmlns:a16="http://schemas.microsoft.com/office/drawing/2014/main" id="{8CCEA56C-E19A-109B-7F8F-C94C0D049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2091267</xdr:colOff>
      <xdr:row>81</xdr:row>
      <xdr:rowOff>29634</xdr:rowOff>
    </xdr:from>
    <xdr:to>
      <xdr:col>7</xdr:col>
      <xdr:colOff>660401</xdr:colOff>
      <xdr:row>93</xdr:row>
      <xdr:rowOff>109006</xdr:rowOff>
    </xdr:to>
    <mc:AlternateContent xmlns:mc="http://schemas.openxmlformats.org/markup-compatibility/2006">
      <mc:Choice xmlns:a14="http://schemas.microsoft.com/office/drawing/2010/main" Requires="a14">
        <xdr:graphicFrame macro="">
          <xdr:nvGraphicFramePr>
            <xdr:cNvPr id="9" name="Index type 1">
              <a:extLst>
                <a:ext uri="{FF2B5EF4-FFF2-40B4-BE49-F238E27FC236}">
                  <a16:creationId xmlns:a16="http://schemas.microsoft.com/office/drawing/2014/main" id="{694A9109-D4CE-A9B5-E2EE-8C0787941B73}"/>
                </a:ext>
              </a:extLst>
            </xdr:cNvPr>
            <xdr:cNvGraphicFramePr/>
          </xdr:nvGraphicFramePr>
          <xdr:xfrm>
            <a:off x="0" y="0"/>
            <a:ext cx="0" cy="0"/>
          </xdr:xfrm>
          <a:graphic>
            <a:graphicData uri="http://schemas.microsoft.com/office/drawing/2010/slicer">
              <sle:slicer xmlns:sle="http://schemas.microsoft.com/office/drawing/2010/slicer" name="Index type 1"/>
            </a:graphicData>
          </a:graphic>
        </xdr:graphicFrame>
      </mc:Choice>
      <mc:Fallback>
        <xdr:sp macro="" textlink="">
          <xdr:nvSpPr>
            <xdr:cNvPr id="0" name=""/>
            <xdr:cNvSpPr>
              <a:spLocks noTextEdit="1"/>
            </xdr:cNvSpPr>
          </xdr:nvSpPr>
          <xdr:spPr>
            <a:xfrm>
              <a:off x="23511934" y="17174634"/>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114</xdr:row>
      <xdr:rowOff>174628</xdr:rowOff>
    </xdr:from>
    <xdr:to>
      <xdr:col>5</xdr:col>
      <xdr:colOff>1828800</xdr:colOff>
      <xdr:row>127</xdr:row>
      <xdr:rowOff>42333</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01D22AAC-979B-FFA5-62D1-4DEA8B7360B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219333" y="2430462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1058333</xdr:colOff>
      <xdr:row>163</xdr:row>
      <xdr:rowOff>-1</xdr:rowOff>
    </xdr:from>
    <xdr:to>
      <xdr:col>7</xdr:col>
      <xdr:colOff>2010833</xdr:colOff>
      <xdr:row>191</xdr:row>
      <xdr:rowOff>0</xdr:rowOff>
    </xdr:to>
    <xdr:graphicFrame macro="">
      <xdr:nvGraphicFramePr>
        <xdr:cNvPr id="14" name="Chart 13">
          <a:extLst>
            <a:ext uri="{FF2B5EF4-FFF2-40B4-BE49-F238E27FC236}">
              <a16:creationId xmlns:a16="http://schemas.microsoft.com/office/drawing/2014/main" id="{B03A1AA3-87A6-58BF-E12E-926672D7C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3378200</xdr:colOff>
      <xdr:row>200</xdr:row>
      <xdr:rowOff>132295</xdr:rowOff>
    </xdr:from>
    <xdr:to>
      <xdr:col>4</xdr:col>
      <xdr:colOff>5207000</xdr:colOff>
      <xdr:row>213</xdr:row>
      <xdr:rowOff>0</xdr:rowOff>
    </xdr:to>
    <mc:AlternateContent xmlns:mc="http://schemas.openxmlformats.org/markup-compatibility/2006">
      <mc:Choice xmlns:a14="http://schemas.microsoft.com/office/drawing/2010/main" Requires="a14">
        <xdr:graphicFrame macro="">
          <xdr:nvGraphicFramePr>
            <xdr:cNvPr id="15" name="Year 4">
              <a:extLst>
                <a:ext uri="{FF2B5EF4-FFF2-40B4-BE49-F238E27FC236}">
                  <a16:creationId xmlns:a16="http://schemas.microsoft.com/office/drawing/2014/main" id="{254D1CFB-A484-B595-6602-2EB4C3AAC4D4}"/>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16903700" y="4246562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tap Petriv" refreshedDate="45972.371780324072" createdVersion="8" refreshedVersion="8" minRefreshableVersion="3" recordCount="110" xr:uid="{59926033-AC39-CF49-8D40-5AA4D913E79A}">
  <cacheSource type="worksheet">
    <worksheetSource name="Table2"/>
  </cacheSource>
  <cacheFields count="4">
    <cacheField name="Country" numFmtId="0">
      <sharedItems/>
    </cacheField>
    <cacheField name="Year" numFmtId="1">
      <sharedItems containsSemiMixedTypes="0" containsString="0" containsNumber="1" containsInteger="1" minValue="1970" maxValue="2024" count="55">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Index type" numFmtId="0">
      <sharedItems count="7">
        <s v="Foreign direct investment, net inflows (BoP, current 2024 USD, world aggregate, billions)"/>
        <s v="Foreign direct investment, net inflows (BoP, constant 2024 USD, world aggregate, billions)"/>
        <s v="Inflation, GDP deflator (annual %)" u="1"/>
        <s v="Inflation, GDP deflator (annual)" u="1"/>
        <s v="Inflation, GDP deflator (annual %). Base year 1970" u="1"/>
        <s v="Foreign direct investment, net inflows (BoP, constant 2024 USD, world aggregate, billions). YoY % change" u="1"/>
        <s v="Foreign direct investment, net inflows (BoP, constant 2024 USD, world aggregate, billions). 5-Year Rolling Average" u="1"/>
      </sharedItems>
    </cacheField>
    <cacheField name="Numbers" numFmtId="2">
      <sharedItems containsSemiMixedTypes="0" containsString="0" containsNumber="1" minValue="12.357585832741663" maxValue="55472.696224401727"/>
    </cacheField>
  </cacheFields>
  <extLst>
    <ext xmlns:x14="http://schemas.microsoft.com/office/spreadsheetml/2009/9/main" uri="{725AE2AE-9491-48be-B2B4-4EB974FC3084}">
      <x14:pivotCacheDefinition pivotCacheId="4784162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tap Petriv" refreshedDate="45972.377120833335" createdVersion="8" refreshedVersion="8" minRefreshableVersion="3" recordCount="110" xr:uid="{72A9256A-71BC-5740-812A-EA7C7F154E7C}">
  <cacheSource type="worksheet">
    <worksheetSource name="Table264"/>
  </cacheSource>
  <cacheFields count="4">
    <cacheField name="Country" numFmtId="0">
      <sharedItems count="1">
        <s v="World"/>
      </sharedItems>
    </cacheField>
    <cacheField name="Year" numFmtId="1">
      <sharedItems containsSemiMixedTypes="0" containsString="0" containsNumber="1" containsInteger="1" minValue="1970" maxValue="2024" count="55">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Index type" numFmtId="0">
      <sharedItems count="2">
        <s v="Foreign direct investment, net inflows (BoP, constant 2024 USD, world aggregate, billions)"/>
        <s v="Foreign direct investment, net inflows (BoP, constant 2024 USD, world aggregate, billions). 5-Year Rolling Average"/>
      </sharedItems>
    </cacheField>
    <cacheField name="Numbers" numFmtId="2">
      <sharedItems containsSemiMixedTypes="0" containsString="0" containsNumber="1" minValue="12.357585832741663" maxValue="55472.696224401727"/>
    </cacheField>
  </cacheFields>
  <extLst>
    <ext xmlns:x14="http://schemas.microsoft.com/office/spreadsheetml/2009/9/main" uri="{725AE2AE-9491-48be-B2B4-4EB974FC3084}">
      <x14:pivotCacheDefinition pivotCacheId="147624194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tap Petriv" refreshedDate="45972.425924537034" createdVersion="8" refreshedVersion="8" minRefreshableVersion="3" recordCount="110" xr:uid="{26AE1B5F-B010-2643-B6B9-2C48E725C60D}">
  <cacheSource type="worksheet">
    <worksheetSource name="Table267"/>
  </cacheSource>
  <cacheFields count="4">
    <cacheField name="Country" numFmtId="0">
      <sharedItems/>
    </cacheField>
    <cacheField name="Year" numFmtId="1">
      <sharedItems containsSemiMixedTypes="0" containsString="0" containsNumber="1" containsInteger="1" minValue="1970" maxValue="2024" count="55">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Index type" numFmtId="0">
      <sharedItems count="2">
        <s v="Inflation, GDP deflator (annual)"/>
        <s v="Foreign direct investment, net inflows (BoP, constant 2024 USD, world aggregate, billions). YoY % change"/>
      </sharedItems>
    </cacheField>
    <cacheField name="Numbers" numFmtId="10">
      <sharedItems containsSemiMixedTypes="0" containsString="0" containsNumber="1" minValue="-0.49515171561905114" maxValue="1.0814983294938489"/>
    </cacheField>
  </cacheFields>
  <extLst>
    <ext xmlns:x14="http://schemas.microsoft.com/office/spreadsheetml/2009/9/main" uri="{725AE2AE-9491-48be-B2B4-4EB974FC3084}">
      <x14:pivotCacheDefinition pivotCacheId="138915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s v="World"/>
    <x v="0"/>
    <x v="0"/>
    <n v="12.357585832741663"/>
  </r>
  <r>
    <s v="World"/>
    <x v="1"/>
    <x v="0"/>
    <n v="14.020855075980126"/>
  </r>
  <r>
    <s v="World"/>
    <x v="2"/>
    <x v="0"/>
    <n v="14.768702552929636"/>
  </r>
  <r>
    <s v="World"/>
    <x v="3"/>
    <x v="0"/>
    <n v="20.09749076138484"/>
  </r>
  <r>
    <s v="World"/>
    <x v="4"/>
    <x v="0"/>
    <n v="24.129828712275692"/>
  </r>
  <r>
    <s v="World"/>
    <x v="5"/>
    <x v="0"/>
    <n v="25.843473882758349"/>
  </r>
  <r>
    <s v="World"/>
    <x v="6"/>
    <x v="0"/>
    <n v="20.577011011399527"/>
  </r>
  <r>
    <s v="World"/>
    <x v="7"/>
    <x v="0"/>
    <n v="27.094427076544491"/>
  </r>
  <r>
    <s v="World"/>
    <x v="8"/>
    <x v="0"/>
    <n v="33.742874310553852"/>
  </r>
  <r>
    <s v="World"/>
    <x v="9"/>
    <x v="0"/>
    <n v="41.951228839756141"/>
  </r>
  <r>
    <s v="World"/>
    <x v="10"/>
    <x v="0"/>
    <n v="53.413886835971915"/>
  </r>
  <r>
    <s v="World"/>
    <x v="11"/>
    <x v="0"/>
    <n v="69.598655387668174"/>
  </r>
  <r>
    <s v="World"/>
    <x v="12"/>
    <x v="0"/>
    <n v="64.847077910456122"/>
  </r>
  <r>
    <s v="World"/>
    <x v="13"/>
    <x v="0"/>
    <n v="53.073373424564089"/>
  </r>
  <r>
    <s v="World"/>
    <x v="14"/>
    <x v="0"/>
    <n v="59.791128735993716"/>
  </r>
  <r>
    <s v="World"/>
    <x v="15"/>
    <x v="0"/>
    <n v="44.960850724530836"/>
  </r>
  <r>
    <s v="World"/>
    <x v="16"/>
    <x v="0"/>
    <n v="81.76878897408956"/>
  </r>
  <r>
    <s v="World"/>
    <x v="17"/>
    <x v="0"/>
    <n v="139.51909754610267"/>
  </r>
  <r>
    <s v="World"/>
    <x v="18"/>
    <x v="0"/>
    <n v="165.89548945904681"/>
  </r>
  <r>
    <s v="World"/>
    <x v="19"/>
    <x v="0"/>
    <n v="200.156890860696"/>
  </r>
  <r>
    <s v="World"/>
    <x v="20"/>
    <x v="0"/>
    <n v="239.40898931659362"/>
  </r>
  <r>
    <s v="World"/>
    <x v="21"/>
    <x v="0"/>
    <n v="174.93574396089019"/>
  </r>
  <r>
    <s v="World"/>
    <x v="22"/>
    <x v="0"/>
    <n v="186.25410923117306"/>
  </r>
  <r>
    <s v="World"/>
    <x v="23"/>
    <x v="0"/>
    <n v="233.71968512569518"/>
  </r>
  <r>
    <s v="World"/>
    <x v="24"/>
    <x v="0"/>
    <n v="278.76448396491202"/>
  </r>
  <r>
    <s v="World"/>
    <x v="25"/>
    <x v="0"/>
    <n v="361.95425096274414"/>
  </r>
  <r>
    <s v="World"/>
    <x v="26"/>
    <x v="0"/>
    <n v="417.89266456598091"/>
  </r>
  <r>
    <s v="World"/>
    <x v="27"/>
    <x v="0"/>
    <n v="534.15260452988616"/>
  </r>
  <r>
    <s v="World"/>
    <x v="28"/>
    <x v="0"/>
    <n v="795.5970033236265"/>
  </r>
  <r>
    <s v="World"/>
    <x v="29"/>
    <x v="0"/>
    <n v="1203.6762313722152"/>
  </r>
  <r>
    <s v="World"/>
    <x v="30"/>
    <x v="0"/>
    <n v="1569.4502753444744"/>
  </r>
  <r>
    <s v="World"/>
    <x v="31"/>
    <x v="0"/>
    <n v="895.7407520435446"/>
  </r>
  <r>
    <s v="World"/>
    <x v="32"/>
    <x v="0"/>
    <n v="751.72492004318735"/>
  </r>
  <r>
    <s v="World"/>
    <x v="33"/>
    <x v="0"/>
    <n v="736.86360878716891"/>
  </r>
  <r>
    <s v="World"/>
    <x v="34"/>
    <x v="0"/>
    <n v="1009.2681686511053"/>
  </r>
  <r>
    <s v="World"/>
    <x v="35"/>
    <x v="0"/>
    <n v="1554.656995349611"/>
  </r>
  <r>
    <s v="World"/>
    <x v="36"/>
    <x v="0"/>
    <n v="2191.6247956370476"/>
  </r>
  <r>
    <s v="World"/>
    <x v="37"/>
    <x v="0"/>
    <n v="3114.6062279012654"/>
  </r>
  <r>
    <s v="World"/>
    <x v="38"/>
    <x v="0"/>
    <n v="2438.6614044850794"/>
  </r>
  <r>
    <s v="World"/>
    <x v="39"/>
    <x v="0"/>
    <n v="1516.8979465388156"/>
  </r>
  <r>
    <s v="World"/>
    <x v="40"/>
    <x v="0"/>
    <n v="1843.4490811220946"/>
  </r>
  <r>
    <s v="World"/>
    <x v="41"/>
    <x v="0"/>
    <n v="2388.3930164315934"/>
  </r>
  <r>
    <s v="World"/>
    <x v="42"/>
    <x v="0"/>
    <n v="2070.356643487235"/>
  </r>
  <r>
    <s v="World"/>
    <x v="43"/>
    <x v="0"/>
    <n v="2167.0813502037236"/>
  </r>
  <r>
    <s v="World"/>
    <x v="44"/>
    <x v="0"/>
    <n v="1966.4667277371727"/>
  </r>
  <r>
    <s v="World"/>
    <x v="45"/>
    <x v="0"/>
    <n v="2791.8477190874901"/>
  </r>
  <r>
    <s v="World"/>
    <x v="46"/>
    <x v="0"/>
    <n v="2748.2537548254409"/>
  </r>
  <r>
    <s v="World"/>
    <x v="47"/>
    <x v="0"/>
    <n v="2256.8144782999848"/>
  </r>
  <r>
    <s v="World"/>
    <x v="48"/>
    <x v="0"/>
    <n v="1106.4830833761459"/>
  </r>
  <r>
    <s v="World"/>
    <x v="49"/>
    <x v="0"/>
    <n v="1941.7633063563983"/>
  </r>
  <r>
    <s v="World"/>
    <x v="50"/>
    <x v="0"/>
    <n v="1186.5767030265683"/>
  </r>
  <r>
    <s v="World"/>
    <x v="51"/>
    <x v="0"/>
    <n v="2423.7700767170677"/>
  </r>
  <r>
    <s v="World"/>
    <x v="52"/>
    <x v="0"/>
    <n v="1889.1449387523712"/>
  </r>
  <r>
    <s v="World"/>
    <x v="53"/>
    <x v="0"/>
    <n v="973.55671028735333"/>
  </r>
  <r>
    <s v="World"/>
    <x v="54"/>
    <x v="0"/>
    <n v="1563.741062287221"/>
  </r>
  <r>
    <s v="World"/>
    <x v="0"/>
    <x v="1"/>
    <n v="12.357585832741663"/>
  </r>
  <r>
    <s v="World"/>
    <x v="1"/>
    <x v="1"/>
    <n v="14.682921815914053"/>
  </r>
  <r>
    <s v="World"/>
    <x v="2"/>
    <x v="1"/>
    <n v="16.31121527575926"/>
  </r>
  <r>
    <s v="World"/>
    <x v="3"/>
    <x v="1"/>
    <n v="23.614514724117058"/>
  </r>
  <r>
    <s v="World"/>
    <x v="4"/>
    <x v="1"/>
    <n v="31.711438949238246"/>
  </r>
  <r>
    <s v="World"/>
    <x v="5"/>
    <x v="1"/>
    <n v="39.64029493828815"/>
  </r>
  <r>
    <s v="World"/>
    <x v="6"/>
    <x v="1"/>
    <n v="34.871442044471657"/>
  </r>
  <r>
    <s v="World"/>
    <x v="7"/>
    <x v="1"/>
    <n v="50.178112900762486"/>
  </r>
  <r>
    <s v="World"/>
    <x v="8"/>
    <x v="1"/>
    <n v="68.548140716383259"/>
  </r>
  <r>
    <s v="World"/>
    <x v="9"/>
    <x v="1"/>
    <n v="91.868832105355949"/>
  </r>
  <r>
    <s v="World"/>
    <x v="10"/>
    <x v="1"/>
    <n v="130.43683689002609"/>
  </r>
  <r>
    <s v="World"/>
    <x v="11"/>
    <x v="1"/>
    <n v="192.14589629062249"/>
  </r>
  <r>
    <s v="World"/>
    <x v="12"/>
    <x v="1"/>
    <n v="197.20049212032666"/>
  </r>
  <r>
    <s v="World"/>
    <x v="13"/>
    <x v="1"/>
    <n v="174.49080402301485"/>
  </r>
  <r>
    <s v="World"/>
    <x v="14"/>
    <x v="1"/>
    <n v="211.76305996335333"/>
  </r>
  <r>
    <s v="World"/>
    <x v="15"/>
    <x v="1"/>
    <n v="171.85529516826887"/>
  </r>
  <r>
    <s v="World"/>
    <x v="16"/>
    <x v="1"/>
    <n v="329.82138826037891"/>
  </r>
  <r>
    <s v="World"/>
    <x v="17"/>
    <x v="1"/>
    <n v="592.24763240987409"/>
  </r>
  <r>
    <s v="World"/>
    <x v="18"/>
    <x v="1"/>
    <n v="754.75029346819247"/>
  </r>
  <r>
    <s v="World"/>
    <x v="19"/>
    <x v="1"/>
    <n v="969.93709501800572"/>
  </r>
  <r>
    <s v="World"/>
    <x v="20"/>
    <x v="1"/>
    <n v="1243.0725792464661"/>
  </r>
  <r>
    <s v="World"/>
    <x v="21"/>
    <x v="1"/>
    <n v="980.86555128723262"/>
  </r>
  <r>
    <s v="World"/>
    <x v="22"/>
    <x v="1"/>
    <n v="1134.8255543359865"/>
  </r>
  <r>
    <s v="World"/>
    <x v="23"/>
    <x v="1"/>
    <n v="1528.6095957587938"/>
  </r>
  <r>
    <s v="World"/>
    <x v="24"/>
    <x v="1"/>
    <n v="1970.6417313549186"/>
  </r>
  <r>
    <s v="World"/>
    <x v="25"/>
    <x v="1"/>
    <n v="2809.6907413563008"/>
  </r>
  <r>
    <s v="World"/>
    <x v="26"/>
    <x v="1"/>
    <n v="3525.3569939849049"/>
  </r>
  <r>
    <s v="World"/>
    <x v="27"/>
    <x v="1"/>
    <n v="4804.4193634442008"/>
  </r>
  <r>
    <s v="World"/>
    <x v="28"/>
    <x v="1"/>
    <n v="7474.8840732919798"/>
  </r>
  <r>
    <s v="World"/>
    <x v="29"/>
    <x v="1"/>
    <n v="11839.52737098889"/>
  </r>
  <r>
    <s v="World"/>
    <x v="30"/>
    <x v="1"/>
    <n v="16107.264006793359"/>
  </r>
  <r>
    <s v="World"/>
    <x v="31"/>
    <x v="1"/>
    <n v="9646.8249767360794"/>
  </r>
  <r>
    <s v="World"/>
    <x v="32"/>
    <x v="1"/>
    <n v="8416.543488494437"/>
  </r>
  <r>
    <s v="World"/>
    <x v="33"/>
    <x v="1"/>
    <n v="8543.3796596470893"/>
  </r>
  <r>
    <s v="World"/>
    <x v="34"/>
    <x v="1"/>
    <n v="12166.797371954299"/>
  </r>
  <r>
    <s v="World"/>
    <x v="35"/>
    <x v="1"/>
    <n v="19814.525452494658"/>
  </r>
  <r>
    <s v="World"/>
    <x v="36"/>
    <x v="1"/>
    <n v="29516.208776567848"/>
  </r>
  <r>
    <s v="World"/>
    <x v="37"/>
    <x v="1"/>
    <n v="44382.79305116021"/>
  </r>
  <r>
    <s v="World"/>
    <x v="38"/>
    <x v="1"/>
    <n v="36782.487679027312"/>
  </r>
  <r>
    <s v="World"/>
    <x v="39"/>
    <x v="1"/>
    <n v="24677.015159579762"/>
  </r>
  <r>
    <s v="World"/>
    <x v="40"/>
    <x v="1"/>
    <n v="30624.113330279441"/>
  </r>
  <r>
    <s v="World"/>
    <x v="41"/>
    <x v="1"/>
    <n v="41355.189158801302"/>
  </r>
  <r>
    <s v="World"/>
    <x v="42"/>
    <x v="1"/>
    <n v="37791.28620301019"/>
  </r>
  <r>
    <s v="World"/>
    <x v="43"/>
    <x v="1"/>
    <n v="40983.443964807535"/>
  </r>
  <r>
    <s v="World"/>
    <x v="44"/>
    <x v="1"/>
    <n v="38030.225434374312"/>
  </r>
  <r>
    <s v="World"/>
    <x v="45"/>
    <x v="1"/>
    <n v="55089.623779112284"/>
  </r>
  <r>
    <s v="World"/>
    <x v="46"/>
    <x v="1"/>
    <n v="55472.696224401727"/>
  </r>
  <r>
    <s v="World"/>
    <x v="47"/>
    <x v="1"/>
    <n v="46416.502208263941"/>
  </r>
  <r>
    <s v="World"/>
    <x v="48"/>
    <x v="1"/>
    <n v="23433.291506806574"/>
  </r>
  <r>
    <s v="World"/>
    <x v="49"/>
    <x v="1"/>
    <n v="42270.196478990365"/>
  </r>
  <r>
    <s v="World"/>
    <x v="50"/>
    <x v="1"/>
    <n v="26434.513652929305"/>
  </r>
  <r>
    <s v="World"/>
    <x v="51"/>
    <x v="1"/>
    <n v="55023.396009554686"/>
  </r>
  <r>
    <s v="World"/>
    <x v="52"/>
    <x v="1"/>
    <n v="44869.944476366873"/>
  </r>
  <r>
    <s v="World"/>
    <x v="53"/>
    <x v="1"/>
    <n v="24777.917591194473"/>
  </r>
  <r>
    <s v="World"/>
    <x v="54"/>
    <x v="1"/>
    <n v="41898.9308715469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x v="0"/>
    <x v="0"/>
    <n v="12.357585832741663"/>
  </r>
  <r>
    <x v="0"/>
    <x v="1"/>
    <x v="0"/>
    <n v="14.682921815914053"/>
  </r>
  <r>
    <x v="0"/>
    <x v="2"/>
    <x v="0"/>
    <n v="16.31121527575926"/>
  </r>
  <r>
    <x v="0"/>
    <x v="3"/>
    <x v="0"/>
    <n v="23.614514724117058"/>
  </r>
  <r>
    <x v="0"/>
    <x v="4"/>
    <x v="0"/>
    <n v="31.711438949238246"/>
  </r>
  <r>
    <x v="0"/>
    <x v="5"/>
    <x v="0"/>
    <n v="39.64029493828815"/>
  </r>
  <r>
    <x v="0"/>
    <x v="6"/>
    <x v="0"/>
    <n v="34.871442044471657"/>
  </r>
  <r>
    <x v="0"/>
    <x v="7"/>
    <x v="0"/>
    <n v="50.178112900762486"/>
  </r>
  <r>
    <x v="0"/>
    <x v="8"/>
    <x v="0"/>
    <n v="68.548140716383259"/>
  </r>
  <r>
    <x v="0"/>
    <x v="9"/>
    <x v="0"/>
    <n v="91.868832105355949"/>
  </r>
  <r>
    <x v="0"/>
    <x v="10"/>
    <x v="0"/>
    <n v="130.43683689002609"/>
  </r>
  <r>
    <x v="0"/>
    <x v="11"/>
    <x v="0"/>
    <n v="192.14589629062249"/>
  </r>
  <r>
    <x v="0"/>
    <x v="12"/>
    <x v="0"/>
    <n v="197.20049212032666"/>
  </r>
  <r>
    <x v="0"/>
    <x v="13"/>
    <x v="0"/>
    <n v="174.49080402301485"/>
  </r>
  <r>
    <x v="0"/>
    <x v="14"/>
    <x v="0"/>
    <n v="211.76305996335333"/>
  </r>
  <r>
    <x v="0"/>
    <x v="15"/>
    <x v="0"/>
    <n v="171.85529516826887"/>
  </r>
  <r>
    <x v="0"/>
    <x v="16"/>
    <x v="0"/>
    <n v="329.82138826037891"/>
  </r>
  <r>
    <x v="0"/>
    <x v="17"/>
    <x v="0"/>
    <n v="592.24763240987409"/>
  </r>
  <r>
    <x v="0"/>
    <x v="18"/>
    <x v="0"/>
    <n v="754.75029346819247"/>
  </r>
  <r>
    <x v="0"/>
    <x v="19"/>
    <x v="0"/>
    <n v="969.93709501800572"/>
  </r>
  <r>
    <x v="0"/>
    <x v="20"/>
    <x v="0"/>
    <n v="1243.0725792464661"/>
  </r>
  <r>
    <x v="0"/>
    <x v="21"/>
    <x v="0"/>
    <n v="980.86555128723262"/>
  </r>
  <r>
    <x v="0"/>
    <x v="22"/>
    <x v="0"/>
    <n v="1134.8255543359865"/>
  </r>
  <r>
    <x v="0"/>
    <x v="23"/>
    <x v="0"/>
    <n v="1528.6095957587938"/>
  </r>
  <r>
    <x v="0"/>
    <x v="24"/>
    <x v="0"/>
    <n v="1970.6417313549186"/>
  </r>
  <r>
    <x v="0"/>
    <x v="25"/>
    <x v="0"/>
    <n v="2809.6907413563008"/>
  </r>
  <r>
    <x v="0"/>
    <x v="26"/>
    <x v="0"/>
    <n v="3525.3569939849049"/>
  </r>
  <r>
    <x v="0"/>
    <x v="27"/>
    <x v="0"/>
    <n v="4804.4193634442008"/>
  </r>
  <r>
    <x v="0"/>
    <x v="28"/>
    <x v="0"/>
    <n v="7474.8840732919798"/>
  </r>
  <r>
    <x v="0"/>
    <x v="29"/>
    <x v="0"/>
    <n v="11839.52737098889"/>
  </r>
  <r>
    <x v="0"/>
    <x v="30"/>
    <x v="0"/>
    <n v="16107.264006793359"/>
  </r>
  <r>
    <x v="0"/>
    <x v="31"/>
    <x v="0"/>
    <n v="9646.8249767360794"/>
  </r>
  <r>
    <x v="0"/>
    <x v="32"/>
    <x v="0"/>
    <n v="8416.543488494437"/>
  </r>
  <r>
    <x v="0"/>
    <x v="33"/>
    <x v="0"/>
    <n v="8543.3796596470893"/>
  </r>
  <r>
    <x v="0"/>
    <x v="34"/>
    <x v="0"/>
    <n v="12166.797371954299"/>
  </r>
  <r>
    <x v="0"/>
    <x v="35"/>
    <x v="0"/>
    <n v="19814.525452494658"/>
  </r>
  <r>
    <x v="0"/>
    <x v="36"/>
    <x v="0"/>
    <n v="29516.208776567848"/>
  </r>
  <r>
    <x v="0"/>
    <x v="37"/>
    <x v="0"/>
    <n v="44382.79305116021"/>
  </r>
  <r>
    <x v="0"/>
    <x v="38"/>
    <x v="0"/>
    <n v="36782.487679027312"/>
  </r>
  <r>
    <x v="0"/>
    <x v="39"/>
    <x v="0"/>
    <n v="24677.015159579762"/>
  </r>
  <r>
    <x v="0"/>
    <x v="40"/>
    <x v="0"/>
    <n v="30624.113330279441"/>
  </r>
  <r>
    <x v="0"/>
    <x v="41"/>
    <x v="0"/>
    <n v="41355.189158801302"/>
  </r>
  <r>
    <x v="0"/>
    <x v="42"/>
    <x v="0"/>
    <n v="37791.28620301019"/>
  </r>
  <r>
    <x v="0"/>
    <x v="43"/>
    <x v="0"/>
    <n v="40983.443964807535"/>
  </r>
  <r>
    <x v="0"/>
    <x v="44"/>
    <x v="0"/>
    <n v="38030.225434374312"/>
  </r>
  <r>
    <x v="0"/>
    <x v="45"/>
    <x v="0"/>
    <n v="55089.623779112284"/>
  </r>
  <r>
    <x v="0"/>
    <x v="46"/>
    <x v="0"/>
    <n v="55472.696224401727"/>
  </r>
  <r>
    <x v="0"/>
    <x v="47"/>
    <x v="0"/>
    <n v="46416.502208263941"/>
  </r>
  <r>
    <x v="0"/>
    <x v="48"/>
    <x v="0"/>
    <n v="23433.291506806574"/>
  </r>
  <r>
    <x v="0"/>
    <x v="49"/>
    <x v="0"/>
    <n v="42270.196478990365"/>
  </r>
  <r>
    <x v="0"/>
    <x v="50"/>
    <x v="0"/>
    <n v="26434.513652929305"/>
  </r>
  <r>
    <x v="0"/>
    <x v="51"/>
    <x v="0"/>
    <n v="55023.396009554686"/>
  </r>
  <r>
    <x v="0"/>
    <x v="52"/>
    <x v="0"/>
    <n v="44869.944476366873"/>
  </r>
  <r>
    <x v="0"/>
    <x v="53"/>
    <x v="0"/>
    <n v="24777.917591194473"/>
  </r>
  <r>
    <x v="0"/>
    <x v="54"/>
    <x v="0"/>
    <n v="41898.930871546989"/>
  </r>
  <r>
    <x v="0"/>
    <x v="0"/>
    <x v="1"/>
    <n v="12.357585832741663"/>
  </r>
  <r>
    <x v="0"/>
    <x v="1"/>
    <x v="1"/>
    <n v="13.520253824327858"/>
  </r>
  <r>
    <x v="0"/>
    <x v="2"/>
    <x v="1"/>
    <n v="14.450574308138327"/>
  </r>
  <r>
    <x v="0"/>
    <x v="3"/>
    <x v="1"/>
    <n v="16.741559412133007"/>
  </r>
  <r>
    <x v="0"/>
    <x v="4"/>
    <x v="1"/>
    <n v="19.735535319554057"/>
  </r>
  <r>
    <x v="0"/>
    <x v="5"/>
    <x v="1"/>
    <n v="25.192077140663351"/>
  </r>
  <r>
    <x v="0"/>
    <x v="6"/>
    <x v="1"/>
    <n v="29.229781186374876"/>
  </r>
  <r>
    <x v="0"/>
    <x v="7"/>
    <x v="1"/>
    <n v="36.003160711375514"/>
  </r>
  <r>
    <x v="0"/>
    <x v="8"/>
    <x v="1"/>
    <n v="44.989885909828757"/>
  </r>
  <r>
    <x v="0"/>
    <x v="9"/>
    <x v="1"/>
    <n v="57.0213645410523"/>
  </r>
  <r>
    <x v="0"/>
    <x v="10"/>
    <x v="1"/>
    <n v="75.180672931399897"/>
  </r>
  <r>
    <x v="0"/>
    <x v="11"/>
    <x v="1"/>
    <n v="106.63556378063005"/>
  </r>
  <r>
    <x v="0"/>
    <x v="12"/>
    <x v="1"/>
    <n v="136.04003962454289"/>
  </r>
  <r>
    <x v="0"/>
    <x v="13"/>
    <x v="1"/>
    <n v="157.22857228586921"/>
  </r>
  <r>
    <x v="0"/>
    <x v="14"/>
    <x v="1"/>
    <n v="181.20741785746867"/>
  </r>
  <r>
    <x v="0"/>
    <x v="15"/>
    <x v="1"/>
    <n v="189.49110951311724"/>
  </r>
  <r>
    <x v="0"/>
    <x v="16"/>
    <x v="1"/>
    <n v="217.02620790706848"/>
  </r>
  <r>
    <x v="0"/>
    <x v="17"/>
    <x v="1"/>
    <n v="296.03563596497804"/>
  </r>
  <r>
    <x v="0"/>
    <x v="18"/>
    <x v="1"/>
    <n v="412.08753385401354"/>
  </r>
  <r>
    <x v="0"/>
    <x v="19"/>
    <x v="1"/>
    <n v="563.72234086494404"/>
  </r>
  <r>
    <x v="0"/>
    <x v="20"/>
    <x v="1"/>
    <n v="777.96579768058348"/>
  </r>
  <r>
    <x v="0"/>
    <x v="21"/>
    <x v="1"/>
    <n v="908.17463028595432"/>
  </r>
  <r>
    <x v="0"/>
    <x v="22"/>
    <x v="1"/>
    <n v="1016.6902146711766"/>
  </r>
  <r>
    <x v="0"/>
    <x v="23"/>
    <x v="1"/>
    <n v="1171.4620751292971"/>
  </r>
  <r>
    <x v="0"/>
    <x v="24"/>
    <x v="1"/>
    <n v="1371.6030023966796"/>
  </r>
  <r>
    <x v="0"/>
    <x v="25"/>
    <x v="1"/>
    <n v="1684.9266348186463"/>
  </r>
  <r>
    <x v="0"/>
    <x v="26"/>
    <x v="1"/>
    <n v="2193.824923358181"/>
  </r>
  <r>
    <x v="0"/>
    <x v="27"/>
    <x v="1"/>
    <n v="2927.7436851798234"/>
  </r>
  <r>
    <x v="0"/>
    <x v="28"/>
    <x v="1"/>
    <n v="4116.9985806864615"/>
  </r>
  <r>
    <x v="0"/>
    <x v="29"/>
    <x v="1"/>
    <n v="6090.775708613256"/>
  </r>
  <r>
    <x v="0"/>
    <x v="30"/>
    <x v="1"/>
    <n v="8750.2903617006668"/>
  </r>
  <r>
    <x v="0"/>
    <x v="31"/>
    <x v="1"/>
    <n v="9974.5839582509016"/>
  </r>
  <r>
    <x v="0"/>
    <x v="32"/>
    <x v="1"/>
    <n v="10697.008783260952"/>
  </r>
  <r>
    <x v="0"/>
    <x v="33"/>
    <x v="1"/>
    <n v="10910.707900531972"/>
  </r>
  <r>
    <x v="0"/>
    <x v="34"/>
    <x v="1"/>
    <n v="10976.161900725054"/>
  </r>
  <r>
    <x v="0"/>
    <x v="35"/>
    <x v="1"/>
    <n v="11717.614189865313"/>
  </r>
  <r>
    <x v="0"/>
    <x v="36"/>
    <x v="1"/>
    <n v="15691.490949831665"/>
  </r>
  <r>
    <x v="0"/>
    <x v="37"/>
    <x v="1"/>
    <n v="22884.740862364823"/>
  </r>
  <r>
    <x v="0"/>
    <x v="38"/>
    <x v="1"/>
    <n v="28532.562466240863"/>
  </r>
  <r>
    <x v="0"/>
    <x v="39"/>
    <x v="1"/>
    <n v="31034.606023765959"/>
  </r>
  <r>
    <x v="0"/>
    <x v="40"/>
    <x v="1"/>
    <n v="33196.523599322914"/>
  </r>
  <r>
    <x v="0"/>
    <x v="41"/>
    <x v="1"/>
    <n v="35564.319675769606"/>
  </r>
  <r>
    <x v="0"/>
    <x v="42"/>
    <x v="1"/>
    <n v="34246.018306139602"/>
  </r>
  <r>
    <x v="0"/>
    <x v="43"/>
    <x v="1"/>
    <n v="35086.209563295648"/>
  </r>
  <r>
    <x v="0"/>
    <x v="44"/>
    <x v="1"/>
    <n v="37756.851618254557"/>
  </r>
  <r>
    <x v="0"/>
    <x v="45"/>
    <x v="1"/>
    <n v="42649.953708021116"/>
  </r>
  <r>
    <x v="0"/>
    <x v="46"/>
    <x v="1"/>
    <n v="45473.455121141211"/>
  </r>
  <r>
    <x v="0"/>
    <x v="47"/>
    <x v="1"/>
    <n v="47198.498322191954"/>
  </r>
  <r>
    <x v="0"/>
    <x v="48"/>
    <x v="1"/>
    <n v="43688.46783059177"/>
  </r>
  <r>
    <x v="0"/>
    <x v="49"/>
    <x v="1"/>
    <n v="44536.462039514983"/>
  </r>
  <r>
    <x v="0"/>
    <x v="50"/>
    <x v="1"/>
    <n v="38805.440014278392"/>
  </r>
  <r>
    <x v="0"/>
    <x v="51"/>
    <x v="1"/>
    <n v="38715.57997130898"/>
  </r>
  <r>
    <x v="0"/>
    <x v="52"/>
    <x v="1"/>
    <n v="38406.268424929556"/>
  </r>
  <r>
    <x v="0"/>
    <x v="53"/>
    <x v="1"/>
    <n v="38675.193641807149"/>
  </r>
  <r>
    <x v="0"/>
    <x v="54"/>
    <x v="1"/>
    <n v="38600.9405203184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s v="World"/>
    <x v="0"/>
    <x v="0"/>
    <n v="4.7220140023282085E-2"/>
  </r>
  <r>
    <s v="World"/>
    <x v="1"/>
    <x v="0"/>
    <n v="5.4644251791602302E-2"/>
  </r>
  <r>
    <s v="World"/>
    <x v="2"/>
    <x v="0"/>
    <n v="6.3881389287516868E-2"/>
  </r>
  <r>
    <s v="World"/>
    <x v="3"/>
    <x v="0"/>
    <n v="0.11847047061847996"/>
  </r>
  <r>
    <s v="World"/>
    <x v="4"/>
    <x v="0"/>
    <n v="0.16714355406778936"/>
  </r>
  <r>
    <s v="World"/>
    <x v="5"/>
    <x v="0"/>
    <n v="0.10484570374597027"/>
  </r>
  <r>
    <s v="World"/>
    <x v="6"/>
    <x v="0"/>
    <n v="9.2815220186309513E-2"/>
  </r>
  <r>
    <s v="World"/>
    <x v="7"/>
    <x v="0"/>
    <n v="9.6930856082707559E-2"/>
  </r>
  <r>
    <s v="World"/>
    <x v="8"/>
    <x v="0"/>
    <n v="7.7978014064391699E-2"/>
  </r>
  <r>
    <s v="World"/>
    <x v="9"/>
    <x v="0"/>
    <n v="0.11512247233014726"/>
  </r>
  <r>
    <s v="World"/>
    <x v="10"/>
    <x v="0"/>
    <n v="0.13053545689500751"/>
  </r>
  <r>
    <s v="World"/>
    <x v="11"/>
    <x v="0"/>
    <n v="0.10150714648163288"/>
  </r>
  <r>
    <s v="World"/>
    <x v="12"/>
    <x v="0"/>
    <n v="8.1130868418377841E-2"/>
  </r>
  <r>
    <s v="World"/>
    <x v="13"/>
    <x v="0"/>
    <n v="7.7252723865774725E-2"/>
  </r>
  <r>
    <s v="World"/>
    <x v="14"/>
    <x v="0"/>
    <n v="7.9232328482273851E-2"/>
  </r>
  <r>
    <s v="World"/>
    <x v="15"/>
    <x v="0"/>
    <n v="5.5268201428267785E-2"/>
  </r>
  <r>
    <s v="World"/>
    <x v="16"/>
    <x v="0"/>
    <n v="5.2394149768332739E-2"/>
  </r>
  <r>
    <s v="World"/>
    <x v="17"/>
    <x v="0"/>
    <n v="7.1763685109351702E-2"/>
  </r>
  <r>
    <s v="World"/>
    <x v="18"/>
    <x v="0"/>
    <n v="6.5134153194451094E-2"/>
  </r>
  <r>
    <s v="World"/>
    <x v="19"/>
    <x v="0"/>
    <n v="7.1477388277844375E-2"/>
  </r>
  <r>
    <s v="World"/>
    <x v="20"/>
    <x v="0"/>
    <n v="7.9878494717877044E-2"/>
  </r>
  <r>
    <s v="World"/>
    <x v="21"/>
    <x v="0"/>
    <n v="8.6656589447414584E-2"/>
  </r>
  <r>
    <s v="World"/>
    <x v="22"/>
    <x v="0"/>
    <n v="7.3440669291872498E-2"/>
  </r>
  <r>
    <s v="World"/>
    <x v="23"/>
    <x v="0"/>
    <n v="8.0858755320608683E-2"/>
  </r>
  <r>
    <s v="World"/>
    <x v="24"/>
    <x v="0"/>
    <n v="9.8081576345723953E-2"/>
  </r>
  <r>
    <s v="World"/>
    <x v="25"/>
    <x v="0"/>
    <n v="8.67596757855911E-2"/>
  </r>
  <r>
    <s v="World"/>
    <x v="26"/>
    <x v="0"/>
    <n v="6.61963807076031E-2"/>
  </r>
  <r>
    <s v="World"/>
    <x v="27"/>
    <x v="0"/>
    <n v="4.4565708952409792E-2"/>
  </r>
  <r>
    <s v="World"/>
    <x v="28"/>
    <x v="0"/>
    <n v="4.6919666498717587E-2"/>
  </r>
  <r>
    <s v="World"/>
    <x v="29"/>
    <x v="0"/>
    <n v="4.3396883849730589E-2"/>
  </r>
  <r>
    <s v="World"/>
    <x v="30"/>
    <x v="0"/>
    <n v="4.9368080115609135E-2"/>
  </r>
  <r>
    <s v="World"/>
    <x v="31"/>
    <x v="0"/>
    <n v="3.9615529171501719E-2"/>
  </r>
  <r>
    <s v="World"/>
    <x v="32"/>
    <x v="0"/>
    <n v="3.554213254560537E-2"/>
  </r>
  <r>
    <s v="World"/>
    <x v="33"/>
    <x v="0"/>
    <n v="3.9745624299609546E-2"/>
  </r>
  <r>
    <s v="World"/>
    <x v="34"/>
    <x v="0"/>
    <n v="5.7254132279322786E-2"/>
  </r>
  <r>
    <s v="World"/>
    <x v="35"/>
    <x v="0"/>
    <n v="5.6684356262420438E-2"/>
  </r>
  <r>
    <s v="World"/>
    <x v="36"/>
    <x v="0"/>
    <n v="5.8076608733047694E-2"/>
  </r>
  <r>
    <s v="World"/>
    <x v="37"/>
    <x v="0"/>
    <n v="5.8468923119352215E-2"/>
  </r>
  <r>
    <s v="World"/>
    <x v="38"/>
    <x v="0"/>
    <n v="7.8565864646320593E-2"/>
  </r>
  <r>
    <s v="World"/>
    <x v="39"/>
    <x v="0"/>
    <n v="2.1165450194592664E-2"/>
  </r>
  <r>
    <s v="World"/>
    <x v="40"/>
    <x v="0"/>
    <n v="4.2297849990792856E-2"/>
  </r>
  <r>
    <s v="World"/>
    <x v="41"/>
    <x v="0"/>
    <n v="5.4198247373878419E-2"/>
  </r>
  <r>
    <s v="World"/>
    <x v="42"/>
    <x v="0"/>
    <n v="3.6064342687494672E-2"/>
  </r>
  <r>
    <s v="World"/>
    <x v="43"/>
    <x v="0"/>
    <n v="2.2607706092235419E-2"/>
  </r>
  <r>
    <s v="World"/>
    <x v="44"/>
    <x v="0"/>
    <n v="2.031855177913627E-2"/>
  </r>
  <r>
    <s v="World"/>
    <x v="45"/>
    <x v="0"/>
    <n v="2.2926347015487066E-2"/>
  </r>
  <r>
    <s v="World"/>
    <x v="46"/>
    <x v="0"/>
    <n v="1.8952891356944404E-2"/>
  </r>
  <r>
    <s v="World"/>
    <x v="47"/>
    <x v="0"/>
    <n v="2.9702970297029764E-2"/>
  </r>
  <r>
    <s v="World"/>
    <x v="48"/>
    <x v="0"/>
    <n v="2.7896672091382656E-2"/>
  </r>
  <r>
    <s v="World"/>
    <x v="49"/>
    <x v="0"/>
    <n v="2.3381426807823614E-2"/>
  </r>
  <r>
    <s v="World"/>
    <x v="50"/>
    <x v="0"/>
    <n v="1.9014736130201298E-2"/>
  </r>
  <r>
    <s v="World"/>
    <x v="51"/>
    <x v="0"/>
    <n v="4.6247133783945953E-2"/>
  </r>
  <r>
    <s v="World"/>
    <x v="52"/>
    <x v="0"/>
    <n v="7.1552112070550816E-2"/>
  </r>
  <r>
    <s v="World"/>
    <x v="53"/>
    <x v="0"/>
    <n v="5.2772546442724888E-2"/>
  </r>
  <r>
    <s v="World"/>
    <x v="54"/>
    <x v="0"/>
    <n v="3.7620799566119703E-2"/>
  </r>
  <r>
    <s v="World"/>
    <x v="0"/>
    <x v="1"/>
    <n v="0"/>
  </r>
  <r>
    <s v="World"/>
    <x v="1"/>
    <x v="1"/>
    <n v="0.18817073291219777"/>
  </r>
  <r>
    <s v="World"/>
    <x v="2"/>
    <x v="1"/>
    <n v="0.11089710074464776"/>
  </r>
  <r>
    <s v="World"/>
    <x v="3"/>
    <x v="1"/>
    <n v="0.44774710681499741"/>
  </r>
  <r>
    <s v="World"/>
    <x v="4"/>
    <x v="1"/>
    <n v="0.34287912835456047"/>
  </r>
  <r>
    <s v="World"/>
    <x v="5"/>
    <x v="1"/>
    <n v="0.25003141616316871"/>
  </r>
  <r>
    <s v="World"/>
    <x v="6"/>
    <x v="1"/>
    <n v="-0.12030316376910477"/>
  </r>
  <r>
    <s v="World"/>
    <x v="7"/>
    <x v="1"/>
    <n v="0.43894573779800061"/>
  </r>
  <r>
    <s v="World"/>
    <x v="8"/>
    <x v="1"/>
    <n v="0.36609642638317763"/>
  </r>
  <r>
    <s v="World"/>
    <x v="9"/>
    <x v="1"/>
    <n v="0.34020895600161705"/>
  </r>
  <r>
    <s v="World"/>
    <x v="10"/>
    <x v="1"/>
    <n v="0.41981599091670208"/>
  </r>
  <r>
    <s v="World"/>
    <x v="11"/>
    <x v="1"/>
    <n v="0.47309533772752044"/>
  </r>
  <r>
    <s v="World"/>
    <x v="12"/>
    <x v="1"/>
    <n v="2.6306030611546571E-2"/>
  </r>
  <r>
    <s v="World"/>
    <x v="13"/>
    <x v="1"/>
    <n v="-0.11516040276134276"/>
  </r>
  <r>
    <s v="World"/>
    <x v="14"/>
    <x v="1"/>
    <n v="0.21360584673231475"/>
  </r>
  <r>
    <s v="World"/>
    <x v="15"/>
    <x v="1"/>
    <n v="-0.18845479849975111"/>
  </r>
  <r>
    <s v="World"/>
    <x v="16"/>
    <x v="1"/>
    <n v="0.91918083139329831"/>
  </r>
  <r>
    <s v="World"/>
    <x v="17"/>
    <x v="1"/>
    <n v="0.79566169293521272"/>
  </r>
  <r>
    <s v="World"/>
    <x v="18"/>
    <x v="1"/>
    <n v="0.2743829644317699"/>
  </r>
  <r>
    <s v="World"/>
    <x v="19"/>
    <x v="1"/>
    <n v="0.28510992763049781"/>
  </r>
  <r>
    <s v="World"/>
    <x v="20"/>
    <x v="1"/>
    <n v="0.28160123541144699"/>
  </r>
  <r>
    <s v="World"/>
    <x v="21"/>
    <x v="1"/>
    <n v="-0.21093460859556556"/>
  </r>
  <r>
    <s v="World"/>
    <x v="22"/>
    <x v="1"/>
    <n v="0.1569634113938505"/>
  </r>
  <r>
    <s v="World"/>
    <x v="23"/>
    <x v="1"/>
    <n v="0.34699962467202261"/>
  </r>
  <r>
    <s v="World"/>
    <x v="24"/>
    <x v="1"/>
    <n v="0.28917268138481256"/>
  </r>
  <r>
    <s v="World"/>
    <x v="25"/>
    <x v="1"/>
    <n v="0.42577450616784218"/>
  </r>
  <r>
    <s v="World"/>
    <x v="26"/>
    <x v="1"/>
    <n v="0.25471353202492875"/>
  </r>
  <r>
    <s v="World"/>
    <x v="27"/>
    <x v="1"/>
    <n v="0.3628178285608179"/>
  </r>
  <r>
    <s v="World"/>
    <x v="28"/>
    <x v="1"/>
    <n v="0.55583505681597534"/>
  </r>
  <r>
    <s v="World"/>
    <x v="29"/>
    <x v="1"/>
    <n v="0.58390782450953749"/>
  </r>
  <r>
    <s v="World"/>
    <x v="30"/>
    <x v="1"/>
    <n v="0.36046511841865936"/>
  </r>
  <r>
    <s v="World"/>
    <x v="31"/>
    <x v="1"/>
    <n v="-0.40108854162522833"/>
  </r>
  <r>
    <s v="World"/>
    <x v="32"/>
    <x v="1"/>
    <n v="-0.1275322700690168"/>
  </r>
  <r>
    <s v="World"/>
    <x v="33"/>
    <x v="1"/>
    <n v="1.506986464527138E-2"/>
  </r>
  <r>
    <s v="World"/>
    <x v="34"/>
    <x v="1"/>
    <n v="0.42411994511044426"/>
  </r>
  <r>
    <s v="World"/>
    <x v="35"/>
    <x v="1"/>
    <n v="0.6285736374774471"/>
  </r>
  <r>
    <s v="World"/>
    <x v="36"/>
    <x v="1"/>
    <n v="0.48962481323779294"/>
  </r>
  <r>
    <s v="World"/>
    <x v="37"/>
    <x v="1"/>
    <n v="0.50367526490714343"/>
  </r>
  <r>
    <s v="World"/>
    <x v="38"/>
    <x v="1"/>
    <n v="-0.17124441364859566"/>
  </r>
  <r>
    <s v="World"/>
    <x v="39"/>
    <x v="1"/>
    <n v="-0.32910967374155786"/>
  </r>
  <r>
    <s v="World"/>
    <x v="40"/>
    <x v="1"/>
    <n v="0.24099746797744226"/>
  </r>
  <r>
    <s v="World"/>
    <x v="41"/>
    <x v="1"/>
    <n v="0.35041262134801343"/>
  </r>
  <r>
    <s v="World"/>
    <x v="42"/>
    <x v="1"/>
    <n v="-8.6177890327280404E-2"/>
  </r>
  <r>
    <s v="World"/>
    <x v="43"/>
    <x v="1"/>
    <n v="8.4468089936115431E-2"/>
  </r>
  <r>
    <s v="World"/>
    <x v="44"/>
    <x v="1"/>
    <n v="-7.205881801854308E-2"/>
  </r>
  <r>
    <s v="World"/>
    <x v="45"/>
    <x v="1"/>
    <n v="0.44857473627591293"/>
  </r>
  <r>
    <s v="World"/>
    <x v="46"/>
    <x v="1"/>
    <n v="6.9536224611990161E-3"/>
  </r>
  <r>
    <s v="World"/>
    <x v="47"/>
    <x v="1"/>
    <n v="-0.16325498186536824"/>
  </r>
  <r>
    <s v="World"/>
    <x v="48"/>
    <x v="1"/>
    <n v="-0.49515171561905114"/>
  </r>
  <r>
    <s v="World"/>
    <x v="49"/>
    <x v="1"/>
    <n v="0.80385228710667089"/>
  </r>
  <r>
    <s v="World"/>
    <x v="50"/>
    <x v="1"/>
    <n v="-0.37462997916113072"/>
  </r>
  <r>
    <s v="World"/>
    <x v="51"/>
    <x v="1"/>
    <n v="1.0814983294938489"/>
  </r>
  <r>
    <s v="World"/>
    <x v="52"/>
    <x v="1"/>
    <n v="-0.18452971407698449"/>
  </r>
  <r>
    <s v="World"/>
    <x v="53"/>
    <x v="1"/>
    <n v="-0.44778363600951032"/>
  </r>
  <r>
    <s v="World"/>
    <x v="54"/>
    <x v="1"/>
    <n v="0.69097869977729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DE8FD5-788C-9B41-BDA6-B0ECB1AF1598}"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7:D234" firstHeaderRow="1" firstDataRow="2" firstDataCol="1"/>
  <pivotFields count="4">
    <pivotField showAll="0"/>
    <pivotField axis="axisRow" numFmtI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axis="axisCol" showAll="0">
      <items count="3">
        <item x="1"/>
        <item x="0"/>
        <item t="default"/>
      </items>
    </pivotField>
    <pivotField dataField="1" numFmtId="10" showAll="0"/>
  </pivotFields>
  <rowFields count="1">
    <field x="1"/>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Fields count="1">
    <field x="2"/>
  </colFields>
  <colItems count="3">
    <i>
      <x/>
    </i>
    <i>
      <x v="1"/>
    </i>
    <i t="grand">
      <x/>
    </i>
  </colItems>
  <dataFields count="1">
    <dataField name="Sum of Numbers" fld="3"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F87D5-03B0-9D4D-AE2C-4F7A790A7139}"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8:D145" firstHeaderRow="1" firstDataRow="2" firstDataCol="1"/>
  <pivotFields count="4">
    <pivotField showAll="0">
      <items count="2">
        <item x="0"/>
        <item t="default"/>
      </items>
    </pivotField>
    <pivotField axis="axisRow" numFmtI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axis="axisCol" showAll="0">
      <items count="3">
        <item x="0"/>
        <item x="1"/>
        <item t="default"/>
      </items>
    </pivotField>
    <pivotField dataField="1" numFmtId="2" showAll="0"/>
  </pivotFields>
  <rowFields count="1">
    <field x="1"/>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Fields count="1">
    <field x="2"/>
  </colFields>
  <colItems count="3">
    <i>
      <x/>
    </i>
    <i>
      <x v="1"/>
    </i>
    <i t="grand">
      <x/>
    </i>
  </colItems>
  <dataFields count="1">
    <dataField name="Sum of Numbers" fld="3" baseField="0" baseItem="0" numFmtId="2"/>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3" format="14" series="1">
      <pivotArea type="data" outline="0" fieldPosition="0">
        <references count="2">
          <reference field="4294967294" count="1" selected="0">
            <x v="0"/>
          </reference>
          <reference field="2" count="1" selected="0">
            <x v="0"/>
          </reference>
        </references>
      </pivotArea>
    </chartFormat>
    <chartFormat chart="13" format="1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944EE6-0AB2-DB48-8323-F359D0335D2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60" firstHeaderRow="1" firstDataRow="2" firstDataCol="1"/>
  <pivotFields count="4">
    <pivotField showAll="0"/>
    <pivotField axis="axisRow" numFmtI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axis="axisCol" showAll="0">
      <items count="8">
        <item x="1"/>
        <item h="1" m="1" x="6"/>
        <item h="1" m="1" x="5"/>
        <item x="0"/>
        <item h="1" m="1" x="2"/>
        <item h="1" m="1" x="4"/>
        <item h="1" m="1" x="3"/>
        <item t="default"/>
      </items>
    </pivotField>
    <pivotField dataField="1" showAll="0"/>
  </pivotFields>
  <rowFields count="1">
    <field x="1"/>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Fields count="1">
    <field x="2"/>
  </colFields>
  <colItems count="3">
    <i>
      <x/>
    </i>
    <i>
      <x v="3"/>
    </i>
    <i t="grand">
      <x/>
    </i>
  </colItems>
  <dataFields count="1">
    <dataField name="Sum of Numbers" fld="3" baseField="0" baseItem="0" numFmtId="2"/>
  </dataFields>
  <formats count="1">
    <format dxfId="17">
      <pivotArea outline="0" collapsedLevelsAreSubtotals="1" fieldPosition="0"/>
    </format>
  </formats>
  <chartFormats count="9">
    <chartFormat chart="5" format="5" series="1">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3">
          <reference field="4294967294" count="1" selected="0">
            <x v="0"/>
          </reference>
          <reference field="1" count="1" selected="0">
            <x v="54"/>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3"/>
          </reference>
        </references>
      </pivotArea>
    </chartFormat>
    <chartFormat chart="5" format="8">
      <pivotArea type="data" outline="0" fieldPosition="0">
        <references count="3">
          <reference field="4294967294" count="1" selected="0">
            <x v="0"/>
          </reference>
          <reference field="1" count="1" selected="0">
            <x v="54"/>
          </reference>
          <reference field="2" count="1" selected="0">
            <x v="3"/>
          </reference>
        </references>
      </pivotArea>
    </chartFormat>
    <chartFormat chart="6" format="9" series="1">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3">
          <reference field="4294967294" count="1" selected="0">
            <x v="0"/>
          </reference>
          <reference field="1" count="1" selected="0">
            <x v="54"/>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3">
          <reference field="4294967294" count="1" selected="0">
            <x v="0"/>
          </reference>
          <reference field="1" count="1" selected="0">
            <x v="54"/>
          </reference>
          <reference field="2" count="1" selected="0">
            <x v="3"/>
          </reference>
        </references>
      </pivotArea>
    </chartFormat>
    <chartFormat chart="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ex_type" xr10:uid="{A0BFF64A-3121-3840-88AF-4623D9C36AAE}" sourceName="Index type">
  <pivotTables>
    <pivotTable tabId="10" name="PivotTable3"/>
  </pivotTables>
  <data>
    <tabular pivotCacheId="478416200">
      <items count="7">
        <i x="1" s="1"/>
        <i x="0" s="1"/>
        <i x="6" nd="1"/>
        <i x="5" nd="1"/>
        <i x="2" nd="1"/>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9AA7D0-3878-4E40-9FFD-239D88CBC03A}" sourceName="Year">
  <pivotTables>
    <pivotTable tabId="10" name="PivotTable3"/>
  </pivotTables>
  <data>
    <tabular pivotCacheId="478416200">
      <items count="5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ex_type1" xr10:uid="{264DA185-6F8A-484F-938D-5E14AB67FFFF}" sourceName="Index type">
  <pivotTables>
    <pivotTable tabId="10" name="PivotTable1"/>
  </pivotTables>
  <data>
    <tabular pivotCacheId="147624194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11F0F0A-497D-B848-8D3E-303094C1531C}" sourceName="Year">
  <pivotTables>
    <pivotTable tabId="10" name="PivotTable1"/>
  </pivotTables>
  <data>
    <tabular pivotCacheId="1476241941">
      <items count="5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3CC9D45-F101-2245-BA39-46150E7114DE}" sourceName="Year">
  <pivotTables>
    <pivotTable tabId="10" name="PivotTable4"/>
  </pivotTables>
  <data>
    <tabular pivotCacheId="138915576">
      <items count="5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ex type 3" xr10:uid="{F63BDF67-A71E-D14F-A432-C71F0C1B4BF6}" cache="Slicer_Index_type" caption="Index type" style="SlicerStyleDark1 Years" rowHeight="251883"/>
  <slicer name="Year 1" xr10:uid="{BC740B7E-FA03-0847-853D-1BFA048F124D}" cache="Slicer_Year" caption="Year" columnCount="5" style="SlicerStyleDark1 Years" rowHeight="251883"/>
  <slicer name="Year 2" xr10:uid="{F209AD26-504B-9A49-8BD3-65CDB60DFFA2}" cache="Slicer_Year" caption="Year" columnCount="5" style="SlicerStyleDark1 Years" rowHeight="251883"/>
  <slicer name="Year 3" xr10:uid="{3BE91728-5E2E-304B-93F6-859450BC83DF}" cache="Slicer_Year" caption="Year" columnCount="5" style="SlicerStyleDark1 Years" rowHeight="251883"/>
  <slicer name="Index type 4" xr10:uid="{8D9F2BFE-8CAE-2B4F-9065-84DE081E4E51}" cache="Slicer_Index_type1" caption="Index type" rowHeight="251883"/>
  <slicer name="Index type 5" xr10:uid="{4F7E5C4E-267A-7D45-85E1-422F85C01B44}" cache="Slicer_Index_type1" caption="Index type" style="SlicerStyleDark1 Years" rowHeight="256032"/>
  <slicer name="Year 5" xr10:uid="{F495B95B-B02D-944A-8550-560EAC825568}" cache="Slicer_Year2" caption="Year" columnCount="7" style="SlicerStyleDark1 Year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ex type" xr10:uid="{44FAE19F-81D7-2440-AF30-6C41F358EC63}" cache="Slicer_Index_type" caption="Index type" style="SlicerStyleDark1 Years" rowHeight="251883"/>
  <slicer name="Index type 1" xr10:uid="{AA53E906-6A6F-2D4F-A568-734DD363A7CB}" cache="Slicer_Index_type1" caption="Index type" rowHeight="251883"/>
  <slicer name="Year" xr10:uid="{9BE3FB9C-926E-3548-BD7B-BD9D06F7BE9F}" cache="Slicer_Year1" caption="Year" rowHeight="251883"/>
  <slicer name="Year 4" xr10:uid="{DB769698-69D6-8B44-8AEB-C83E7209F8EA}" cache="Slicer_Year2"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A6934-59DD-7C49-AD69-497ACBAEEAA6}" name="Table1" displayName="Table1" ref="A4:BQ270" totalsRowShown="0">
  <autoFilter ref="A4:BQ270" xr:uid="{B74A6934-59DD-7C49-AD69-497ACBAEEAA6}">
    <filterColumn colId="0">
      <filters>
        <filter val="United States"/>
      </filters>
    </filterColumn>
  </autoFilter>
  <tableColumns count="69">
    <tableColumn id="1" xr3:uid="{42C5CB2C-16B8-1A43-83D0-5E75377270E4}" name="Country Name"/>
    <tableColumn id="2" xr3:uid="{1402049F-629F-3849-B25F-963BE8DA4DB7}" name="Country Code"/>
    <tableColumn id="3" xr3:uid="{1266C325-3559-834A-A6AF-92A5ED7C31AF}" name="Indicator Name"/>
    <tableColumn id="4" xr3:uid="{8966FBC7-0CC3-604E-8923-C450AF6AE491}" name="Indicator Code"/>
    <tableColumn id="5" xr3:uid="{1CDCE360-D0A5-5E40-8A3C-DB88048A16AA}" name="1960"/>
    <tableColumn id="6" xr3:uid="{137E9C67-9F94-994E-AC95-55BF4C0B38A6}" name="1961"/>
    <tableColumn id="7" xr3:uid="{1C383011-5409-5045-83C6-B6C7D5556D73}" name="1962"/>
    <tableColumn id="8" xr3:uid="{23A5C193-DB95-6544-86A5-80103B5495EF}" name="1963"/>
    <tableColumn id="9" xr3:uid="{FDDD13E1-D46E-3343-823A-41610082D5F8}" name="1964"/>
    <tableColumn id="10" xr3:uid="{534BAFFD-94FC-AE4E-B487-F03A5A7E85DC}" name="1965"/>
    <tableColumn id="11" xr3:uid="{301F3122-517D-664F-BD30-364E91349CE0}" name="1966"/>
    <tableColumn id="12" xr3:uid="{B36CA7CB-FC6B-B549-85FC-D208010157C4}" name="1967"/>
    <tableColumn id="13" xr3:uid="{C391D307-6EF8-0D4C-BEDC-F9457F6C30CC}" name="1968"/>
    <tableColumn id="14" xr3:uid="{9AFF312D-A3E3-5946-A48B-0DF2C2718780}" name="1969"/>
    <tableColumn id="15" xr3:uid="{EE660162-9C14-0C4E-812F-4C539E38D549}" name="1970"/>
    <tableColumn id="16" xr3:uid="{56B522F9-D173-3245-BD69-6E948C7860DA}" name="1971"/>
    <tableColumn id="17" xr3:uid="{8EA281BA-5B28-2D4F-98BA-BF1874065934}" name="1972"/>
    <tableColumn id="18" xr3:uid="{79A39C4C-D87E-F141-97B6-EE0EA3116B0E}" name="1973"/>
    <tableColumn id="19" xr3:uid="{63516BD5-CC5C-3544-BD79-98FEAAEFAC05}" name="1974"/>
    <tableColumn id="20" xr3:uid="{503675CB-42B3-5247-A492-4EF719F50E01}" name="1975"/>
    <tableColumn id="21" xr3:uid="{25219331-4DEA-0948-8EF0-2B9D47BB0DCB}" name="1976"/>
    <tableColumn id="22" xr3:uid="{76BAAAD1-74BE-F549-95EA-4B623CF2C89F}" name="1977"/>
    <tableColumn id="23" xr3:uid="{44340AC4-97D3-EB48-AA3F-F6B656372A07}" name="1978"/>
    <tableColumn id="24" xr3:uid="{17C5CC80-134A-194A-8CD7-244AC454818C}" name="1979"/>
    <tableColumn id="25" xr3:uid="{451B86F7-4F0F-E842-836E-DD20EF3C022C}" name="1980"/>
    <tableColumn id="26" xr3:uid="{1BF98707-E183-834C-8F2C-D3B272AABA47}" name="1981"/>
    <tableColumn id="27" xr3:uid="{E125375E-5F05-D040-A4E7-0E5C65F439A7}" name="1982"/>
    <tableColumn id="28" xr3:uid="{5A97AB88-8F38-134A-9402-05C1AA31B9D2}" name="1983"/>
    <tableColumn id="29" xr3:uid="{51596845-34F8-7645-88E8-B00C7663947B}" name="1984"/>
    <tableColumn id="30" xr3:uid="{52A95731-0739-134B-8A74-0D3D9880A47F}" name="1985"/>
    <tableColumn id="31" xr3:uid="{9EDA1059-75F4-B44C-8FAB-C4C6C8EAF8C7}" name="1986"/>
    <tableColumn id="32" xr3:uid="{F6A2410B-EEEE-3648-8598-A5779ABD7A16}" name="1987"/>
    <tableColumn id="33" xr3:uid="{A45647D9-F12B-D54E-A944-B95AF544E357}" name="1988"/>
    <tableColumn id="34" xr3:uid="{DBACBD46-970F-C24C-8A28-F2AA88223BAC}" name="1989"/>
    <tableColumn id="35" xr3:uid="{18608D64-0F75-AE4D-A006-545B0D438BDA}" name="1990"/>
    <tableColumn id="36" xr3:uid="{3AD9C05E-B507-1144-81F6-59103DA73900}" name="1991"/>
    <tableColumn id="37" xr3:uid="{106EAF5D-A1E0-EF40-AB8C-984CC1FAD460}" name="1992"/>
    <tableColumn id="38" xr3:uid="{DCA2AE7F-E025-2A4D-8DB4-EFC14C29E2BA}" name="1993"/>
    <tableColumn id="39" xr3:uid="{E70A0FB8-028C-9344-AD8B-2BD9B9DA87F7}" name="1994"/>
    <tableColumn id="40" xr3:uid="{94A1CF55-60F5-5A42-9BCC-A6480106F18C}" name="1995"/>
    <tableColumn id="41" xr3:uid="{15B57107-2E5D-C744-BC63-D35601830204}" name="1996"/>
    <tableColumn id="42" xr3:uid="{3CAF8782-0632-C14E-8A7B-5B86593B746B}" name="1997"/>
    <tableColumn id="43" xr3:uid="{8BCDC26B-C8A1-4940-9B1E-4454043C52BA}" name="1998"/>
    <tableColumn id="44" xr3:uid="{0AFDCE8F-D7B6-A340-AE97-A73B77B8E522}" name="1999"/>
    <tableColumn id="45" xr3:uid="{E69A1D8B-CF85-5448-A545-1CDE3C810D4F}" name="2000"/>
    <tableColumn id="46" xr3:uid="{95239B9E-9887-2E40-BB4E-F0697B02D79F}" name="2001"/>
    <tableColumn id="47" xr3:uid="{7F60BEB3-CC4A-3540-A459-DF9D517D1987}" name="2002"/>
    <tableColumn id="48" xr3:uid="{FB4BBF96-622C-464C-A258-E54A1B5444BB}" name="2003"/>
    <tableColumn id="49" xr3:uid="{628AC163-F69F-124B-AE66-E012CFB4B70C}" name="2004"/>
    <tableColumn id="50" xr3:uid="{9F787BE6-C128-0740-97DF-9732E3BE9ECC}" name="2005"/>
    <tableColumn id="51" xr3:uid="{88D726CF-B617-3A44-AC50-767A0046A266}" name="2006"/>
    <tableColumn id="52" xr3:uid="{02F5E846-4A62-0C43-BBA7-68D2A40F6804}" name="2007"/>
    <tableColumn id="53" xr3:uid="{B24B3004-963C-BA44-ABCC-6A817C66BEF8}" name="2008"/>
    <tableColumn id="54" xr3:uid="{94698E21-6462-E440-87F6-E117B6D7FF38}" name="2009"/>
    <tableColumn id="55" xr3:uid="{777E5274-88F3-F844-9560-26C0A5D8AEF8}" name="2010"/>
    <tableColumn id="56" xr3:uid="{4A42EBB1-5FB9-4D4B-968B-86C59A73D24F}" name="2011"/>
    <tableColumn id="57" xr3:uid="{BCA507D3-3388-4F4D-A909-FC49CD2E128A}" name="2012"/>
    <tableColumn id="58" xr3:uid="{65EA9470-18BC-7944-B7E1-E870994CEC6D}" name="2013"/>
    <tableColumn id="59" xr3:uid="{D2534817-CEC8-AC49-94EC-3785B02E33C2}" name="2014"/>
    <tableColumn id="60" xr3:uid="{1B156CEA-2F96-6640-B3BB-B27CEE9F7D68}" name="2015"/>
    <tableColumn id="61" xr3:uid="{6E40BD80-1275-7B45-BD4E-9B84D38FF433}" name="2016"/>
    <tableColumn id="62" xr3:uid="{03140A7F-AA8F-D34E-A576-76C31284E803}" name="2017"/>
    <tableColumn id="63" xr3:uid="{0287FBBB-2BC8-7C4A-A1A6-973FD1C27274}" name="2018"/>
    <tableColumn id="64" xr3:uid="{0C3F95A9-E13A-7E4E-973B-7652C8BA207D}" name="2019"/>
    <tableColumn id="65" xr3:uid="{1DB74B48-B697-7144-9FD5-279950E0F5A2}" name="2020"/>
    <tableColumn id="66" xr3:uid="{4B2BE7A6-E72E-5D41-9FA8-51BD2A95C736}" name="2021"/>
    <tableColumn id="67" xr3:uid="{184BCD1C-1FBC-994E-ADC1-67A16F371D26}" name="2022"/>
    <tableColumn id="68" xr3:uid="{BD45318D-B65E-E345-9F7D-A79EA05F453F}" name="2023"/>
    <tableColumn id="69" xr3:uid="{DB550A55-B015-B849-9E92-570027A75B67}" name="2024"/>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16CC71-A2FC-B441-B841-3B788336B696}" name="Table2" displayName="Table2" ref="A1:D111" totalsRowShown="0">
  <autoFilter ref="A1:D111" xr:uid="{6116CC71-A2FC-B441-B841-3B788336B696}"/>
  <tableColumns count="4">
    <tableColumn id="1" xr3:uid="{789B3267-7B60-0249-905A-8B955DF1A52B}" name="Country"/>
    <tableColumn id="2" xr3:uid="{3E0DFA31-7BE9-CC47-AD3C-52EB36FCD4B8}" name="Year" dataDxfId="26"/>
    <tableColumn id="3" xr3:uid="{C4CF0634-B6EB-6C49-9973-0EED8C06E2E5}" name="Index type" dataDxfId="25"/>
    <tableColumn id="4" xr3:uid="{C770D5FF-3DE0-C842-9EFC-66C77C05C0C2}" name="Numbers" dataDxfId="24" dataCellStyle="Per cent"/>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ADBA4B-476B-1C4D-A6EC-C050AF74DF0F}" name="Table264" displayName="Table264" ref="A1:D111" totalsRowShown="0">
  <autoFilter ref="A1:D111" xr:uid="{0B6CE733-9F5E-934D-9A14-9996D205C622}"/>
  <tableColumns count="4">
    <tableColumn id="1" xr3:uid="{1A436395-56AC-E54A-99FB-722CECF69ED4}" name="Country"/>
    <tableColumn id="2" xr3:uid="{C7189001-EDF5-4349-9288-5F43B9999139}" name="Year" dataDxfId="23"/>
    <tableColumn id="3" xr3:uid="{513C546F-D08E-4845-828D-9EE621093284}" name="Index type" dataDxfId="22"/>
    <tableColumn id="4" xr3:uid="{29D0326B-42CC-4D43-A538-61A311DC3E8E}" name="Numbers" dataDxfId="21" dataCellStyle="Per cent"/>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A16F9C-CF78-0547-8648-3D4132C7E9DE}" name="Table267" displayName="Table267" ref="A1:D111" totalsRowShown="0">
  <autoFilter ref="A1:D111" xr:uid="{0B6CE733-9F5E-934D-9A14-9996D205C622}"/>
  <tableColumns count="4">
    <tableColumn id="1" xr3:uid="{E8690FFC-21CD-6B4B-B9F4-89220E118F12}" name="Country"/>
    <tableColumn id="2" xr3:uid="{2C1111D2-1777-5E4B-BAA0-784983A060E3}" name="Year" dataDxfId="16"/>
    <tableColumn id="3" xr3:uid="{73A91920-26AC-FB45-8AFD-FBC3099B547C}" name="Index type" dataDxfId="15"/>
    <tableColumn id="4" xr3:uid="{8DCC70C0-F1B6-A641-B68B-B3604C1B5257}" name="Numbers" dataDxfId="14" dataCellStyle="Per cent"/>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6CE733-9F5E-934D-9A14-9996D205C622}" name="Table26" displayName="Table26" ref="A1:D386" totalsRowShown="0">
  <autoFilter ref="A1:D386" xr:uid="{0B6CE733-9F5E-934D-9A14-9996D205C622}"/>
  <tableColumns count="4">
    <tableColumn id="1" xr3:uid="{3D1A89C5-40FE-A04E-9A28-F4296D096D1E}" name="Country"/>
    <tableColumn id="2" xr3:uid="{274E669C-51D3-EC49-A076-F6EF2B1E1CD1}" name="Year" dataDxfId="20"/>
    <tableColumn id="3" xr3:uid="{DE12B9B9-FE3C-9540-B8A7-0708590438F6}" name="Index type" dataDxfId="19"/>
    <tableColumn id="4" xr3:uid="{F04114B5-80C4-7043-9CBF-9AF14283FF8F}" name="Numbers" dataDxfId="18" dataCellStyle="Per cen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E2375-4474-564C-B776-1DD1B3BD321B}">
  <dimension ref="A1:W53"/>
  <sheetViews>
    <sheetView showGridLines="0" showRowColHeaders="0" tabSelected="1" zoomScale="88" zoomScaleNormal="88" workbookViewId="0">
      <selection activeCell="Y8" sqref="Y8"/>
    </sheetView>
  </sheetViews>
  <sheetFormatPr baseColWidth="10" defaultRowHeight="16" x14ac:dyDescent="0.2"/>
  <cols>
    <col min="11" max="11" width="0.6640625" customWidth="1"/>
    <col min="12" max="12" width="21" customWidth="1"/>
    <col min="13" max="14" width="10.83203125" customWidth="1"/>
    <col min="16" max="16" width="10.6640625" customWidth="1"/>
    <col min="23" max="23" width="0.6640625" customWidth="1"/>
  </cols>
  <sheetData>
    <row r="1" spans="11:23" x14ac:dyDescent="0.2">
      <c r="K1" s="9"/>
      <c r="W1" s="9"/>
    </row>
    <row r="2" spans="11:23" x14ac:dyDescent="0.2">
      <c r="K2" s="9"/>
      <c r="W2" s="9"/>
    </row>
    <row r="3" spans="11:23" x14ac:dyDescent="0.2">
      <c r="K3" s="9"/>
      <c r="W3" s="9"/>
    </row>
    <row r="4" spans="11:23" x14ac:dyDescent="0.2">
      <c r="K4" s="9"/>
      <c r="W4" s="9"/>
    </row>
    <row r="5" spans="11:23" x14ac:dyDescent="0.2">
      <c r="K5" s="9"/>
      <c r="W5" s="9"/>
    </row>
    <row r="6" spans="11:23" x14ac:dyDescent="0.2">
      <c r="K6" s="9"/>
      <c r="W6" s="9"/>
    </row>
    <row r="7" spans="11:23" x14ac:dyDescent="0.2">
      <c r="K7" s="9"/>
      <c r="W7" s="9"/>
    </row>
    <row r="8" spans="11:23" x14ac:dyDescent="0.2">
      <c r="K8" s="9"/>
      <c r="W8" s="9"/>
    </row>
    <row r="9" spans="11:23" x14ac:dyDescent="0.2">
      <c r="K9" s="9"/>
      <c r="W9" s="9"/>
    </row>
    <row r="10" spans="11:23" x14ac:dyDescent="0.2">
      <c r="K10" s="9"/>
      <c r="W10" s="9"/>
    </row>
    <row r="11" spans="11:23" x14ac:dyDescent="0.2">
      <c r="K11" s="9"/>
      <c r="W11" s="9"/>
    </row>
    <row r="12" spans="11:23" x14ac:dyDescent="0.2">
      <c r="K12" s="9"/>
      <c r="W12" s="9"/>
    </row>
    <row r="13" spans="11:23" x14ac:dyDescent="0.2">
      <c r="K13" s="9"/>
      <c r="W13" s="9"/>
    </row>
    <row r="14" spans="11:23" x14ac:dyDescent="0.2">
      <c r="K14" s="9"/>
      <c r="W14" s="9"/>
    </row>
    <row r="15" spans="11:23" x14ac:dyDescent="0.2">
      <c r="K15" s="9"/>
      <c r="W15" s="9"/>
    </row>
    <row r="16" spans="11:23" x14ac:dyDescent="0.2">
      <c r="K16" s="9"/>
      <c r="W16" s="9"/>
    </row>
    <row r="17" spans="1:23" x14ac:dyDescent="0.2">
      <c r="K17" s="9"/>
      <c r="W17" s="9"/>
    </row>
    <row r="18" spans="1:23" x14ac:dyDescent="0.2">
      <c r="K18" s="9"/>
      <c r="W18" s="9"/>
    </row>
    <row r="19" spans="1:23" x14ac:dyDescent="0.2">
      <c r="K19" s="9"/>
      <c r="W19" s="9"/>
    </row>
    <row r="20" spans="1:23" x14ac:dyDescent="0.2">
      <c r="K20" s="9"/>
      <c r="W20" s="9"/>
    </row>
    <row r="21" spans="1:23" x14ac:dyDescent="0.2">
      <c r="K21" s="9"/>
      <c r="W21" s="9"/>
    </row>
    <row r="22" spans="1:23" x14ac:dyDescent="0.2">
      <c r="K22" s="9"/>
      <c r="W22" s="9"/>
    </row>
    <row r="23" spans="1:23" x14ac:dyDescent="0.2">
      <c r="K23" s="9"/>
      <c r="W23" s="9"/>
    </row>
    <row r="24" spans="1:23" ht="5" customHeight="1" x14ac:dyDescent="0.2">
      <c r="A24" s="9"/>
      <c r="B24" s="9"/>
      <c r="C24" s="9"/>
      <c r="D24" s="9"/>
      <c r="E24" s="9"/>
      <c r="F24" s="9"/>
      <c r="G24" s="9"/>
      <c r="H24" s="9"/>
      <c r="I24" s="9"/>
      <c r="J24" s="9"/>
      <c r="K24" s="9"/>
      <c r="L24" s="9"/>
      <c r="M24" s="9"/>
      <c r="N24" s="9"/>
      <c r="O24" s="9"/>
      <c r="P24" s="9"/>
      <c r="Q24" s="9"/>
      <c r="R24" s="9"/>
      <c r="S24" s="9"/>
      <c r="T24" s="9"/>
      <c r="U24" s="9"/>
      <c r="V24" s="9"/>
      <c r="W24" s="9"/>
    </row>
    <row r="25" spans="1:23" x14ac:dyDescent="0.2">
      <c r="K25" s="9"/>
      <c r="W25" s="9"/>
    </row>
    <row r="26" spans="1:23" x14ac:dyDescent="0.2">
      <c r="K26" s="9"/>
      <c r="W26" s="9"/>
    </row>
    <row r="27" spans="1:23" x14ac:dyDescent="0.2">
      <c r="K27" s="9"/>
      <c r="W27" s="9"/>
    </row>
    <row r="28" spans="1:23" x14ac:dyDescent="0.2">
      <c r="K28" s="9"/>
      <c r="W28" s="9"/>
    </row>
    <row r="29" spans="1:23" x14ac:dyDescent="0.2">
      <c r="K29" s="9"/>
      <c r="W29" s="9"/>
    </row>
    <row r="30" spans="1:23" x14ac:dyDescent="0.2">
      <c r="K30" s="9"/>
      <c r="W30" s="9"/>
    </row>
    <row r="31" spans="1:23" x14ac:dyDescent="0.2">
      <c r="K31" s="9"/>
      <c r="W31" s="9"/>
    </row>
    <row r="32" spans="1:23" x14ac:dyDescent="0.2">
      <c r="K32" s="9"/>
      <c r="W32" s="9"/>
    </row>
    <row r="33" spans="11:23" x14ac:dyDescent="0.2">
      <c r="K33" s="9"/>
      <c r="W33" s="9"/>
    </row>
    <row r="34" spans="11:23" x14ac:dyDescent="0.2">
      <c r="K34" s="9"/>
      <c r="W34" s="9"/>
    </row>
    <row r="35" spans="11:23" x14ac:dyDescent="0.2">
      <c r="K35" s="9"/>
      <c r="W35" s="9"/>
    </row>
    <row r="36" spans="11:23" x14ac:dyDescent="0.2">
      <c r="K36" s="9"/>
      <c r="W36" s="9"/>
    </row>
    <row r="37" spans="11:23" x14ac:dyDescent="0.2">
      <c r="K37" s="9"/>
      <c r="W37" s="9"/>
    </row>
    <row r="38" spans="11:23" x14ac:dyDescent="0.2">
      <c r="K38" s="9"/>
      <c r="W38" s="9"/>
    </row>
    <row r="39" spans="11:23" x14ac:dyDescent="0.2">
      <c r="K39" s="9"/>
      <c r="W39" s="9"/>
    </row>
    <row r="40" spans="11:23" x14ac:dyDescent="0.2">
      <c r="K40" s="9"/>
      <c r="W40" s="9"/>
    </row>
    <row r="41" spans="11:23" x14ac:dyDescent="0.2">
      <c r="K41" s="9"/>
      <c r="W41" s="9"/>
    </row>
    <row r="42" spans="11:23" x14ac:dyDescent="0.2">
      <c r="K42" s="9"/>
      <c r="W42" s="9"/>
    </row>
    <row r="43" spans="11:23" x14ac:dyDescent="0.2">
      <c r="K43" s="9"/>
      <c r="W43" s="9"/>
    </row>
    <row r="44" spans="11:23" x14ac:dyDescent="0.2">
      <c r="K44" s="9"/>
      <c r="W44" s="9"/>
    </row>
    <row r="45" spans="11:23" x14ac:dyDescent="0.2">
      <c r="K45" s="9"/>
      <c r="W45" s="9"/>
    </row>
    <row r="46" spans="11:23" x14ac:dyDescent="0.2">
      <c r="K46" s="9"/>
      <c r="W46" s="9"/>
    </row>
    <row r="47" spans="11:23" x14ac:dyDescent="0.2">
      <c r="K47" s="9"/>
      <c r="W47" s="9"/>
    </row>
    <row r="48" spans="11:23" x14ac:dyDescent="0.2">
      <c r="K48" s="9"/>
      <c r="W48" s="9"/>
    </row>
    <row r="49" spans="1:23" x14ac:dyDescent="0.2">
      <c r="K49" s="9"/>
      <c r="W49" s="9"/>
    </row>
    <row r="50" spans="1:23" x14ac:dyDescent="0.2">
      <c r="K50" s="9"/>
      <c r="W50" s="9"/>
    </row>
    <row r="51" spans="1:23" ht="24" customHeight="1" x14ac:dyDescent="0.2">
      <c r="K51" s="9"/>
      <c r="W51" s="9"/>
    </row>
    <row r="52" spans="1:23" ht="31" customHeight="1" x14ac:dyDescent="0.2">
      <c r="K52" s="9"/>
      <c r="W52" s="9"/>
    </row>
    <row r="53" spans="1:23" ht="4" customHeight="1" x14ac:dyDescent="0.2">
      <c r="A53" s="9"/>
      <c r="B53" s="9"/>
      <c r="C53" s="9"/>
      <c r="D53" s="9"/>
      <c r="E53" s="9"/>
      <c r="F53" s="9"/>
      <c r="G53" s="9"/>
      <c r="H53" s="9"/>
      <c r="I53" s="9"/>
      <c r="J53" s="9"/>
      <c r="K53" s="9"/>
      <c r="L53" s="9"/>
      <c r="M53" s="9"/>
      <c r="N53" s="9"/>
      <c r="O53" s="9"/>
      <c r="P53" s="9"/>
      <c r="Q53" s="9"/>
      <c r="R53" s="9"/>
      <c r="S53" s="9"/>
      <c r="T53" s="9"/>
      <c r="U53" s="9"/>
      <c r="V53" s="9"/>
      <c r="W5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13FC-4A5A-FB4D-A19A-7901AF3EEBD2}">
  <dimension ref="A3:D234"/>
  <sheetViews>
    <sheetView topLeftCell="A160" zoomScale="60" zoomScaleNormal="158" workbookViewId="0">
      <selection activeCell="C200" sqref="C200"/>
    </sheetView>
  </sheetViews>
  <sheetFormatPr baseColWidth="10" defaultRowHeight="16" x14ac:dyDescent="0.2"/>
  <cols>
    <col min="1" max="1" width="15.1640625" bestFit="1" customWidth="1"/>
    <col min="2" max="2" width="76.5" bestFit="1" customWidth="1"/>
    <col min="3" max="3" width="75.1640625" bestFit="1" customWidth="1"/>
    <col min="4" max="4" width="10.6640625" bestFit="1" customWidth="1"/>
    <col min="5" max="5" width="74.83203125" bestFit="1" customWidth="1"/>
    <col min="6" max="6" width="29" bestFit="1" customWidth="1"/>
    <col min="7" max="7" width="42.6640625" bestFit="1" customWidth="1"/>
    <col min="8" max="8" width="27.1640625" bestFit="1" customWidth="1"/>
    <col min="9" max="9" width="12.1640625" bestFit="1" customWidth="1"/>
  </cols>
  <sheetData>
    <row r="3" spans="1:4" x14ac:dyDescent="0.2">
      <c r="A3" s="4" t="s">
        <v>612</v>
      </c>
      <c r="B3" s="4" t="s">
        <v>609</v>
      </c>
    </row>
    <row r="4" spans="1:4" x14ac:dyDescent="0.2">
      <c r="A4" s="4" t="s">
        <v>607</v>
      </c>
      <c r="B4" t="s">
        <v>614</v>
      </c>
      <c r="C4" t="s">
        <v>613</v>
      </c>
      <c r="D4" t="s">
        <v>608</v>
      </c>
    </row>
    <row r="5" spans="1:4" x14ac:dyDescent="0.2">
      <c r="A5" s="8">
        <v>1970</v>
      </c>
      <c r="B5" s="2">
        <v>12.357585832741663</v>
      </c>
      <c r="C5" s="2">
        <v>12.357585832741663</v>
      </c>
      <c r="D5" s="2">
        <v>24.715171665483325</v>
      </c>
    </row>
    <row r="6" spans="1:4" x14ac:dyDescent="0.2">
      <c r="A6" s="8">
        <v>1971</v>
      </c>
      <c r="B6" s="2">
        <v>14.682921815914053</v>
      </c>
      <c r="C6" s="2">
        <v>14.020855075980126</v>
      </c>
      <c r="D6" s="2">
        <v>28.703776891894179</v>
      </c>
    </row>
    <row r="7" spans="1:4" x14ac:dyDescent="0.2">
      <c r="A7" s="8">
        <v>1972</v>
      </c>
      <c r="B7" s="2">
        <v>16.31121527575926</v>
      </c>
      <c r="C7" s="2">
        <v>14.768702552929636</v>
      </c>
      <c r="D7" s="2">
        <v>31.079917828688895</v>
      </c>
    </row>
    <row r="8" spans="1:4" x14ac:dyDescent="0.2">
      <c r="A8" s="8">
        <v>1973</v>
      </c>
      <c r="B8" s="2">
        <v>23.614514724117058</v>
      </c>
      <c r="C8" s="2">
        <v>20.09749076138484</v>
      </c>
      <c r="D8" s="2">
        <v>43.712005485501898</v>
      </c>
    </row>
    <row r="9" spans="1:4" x14ac:dyDescent="0.2">
      <c r="A9" s="8">
        <v>1974</v>
      </c>
      <c r="B9" s="2">
        <v>31.711438949238246</v>
      </c>
      <c r="C9" s="2">
        <v>24.129828712275692</v>
      </c>
      <c r="D9" s="2">
        <v>55.841267661513939</v>
      </c>
    </row>
    <row r="10" spans="1:4" x14ac:dyDescent="0.2">
      <c r="A10" s="8">
        <v>1975</v>
      </c>
      <c r="B10" s="2">
        <v>39.64029493828815</v>
      </c>
      <c r="C10" s="2">
        <v>25.843473882758349</v>
      </c>
      <c r="D10" s="2">
        <v>65.483768821046496</v>
      </c>
    </row>
    <row r="11" spans="1:4" x14ac:dyDescent="0.2">
      <c r="A11" s="8">
        <v>1976</v>
      </c>
      <c r="B11" s="2">
        <v>34.871442044471657</v>
      </c>
      <c r="C11" s="2">
        <v>20.577011011399527</v>
      </c>
      <c r="D11" s="2">
        <v>55.448453055871184</v>
      </c>
    </row>
    <row r="12" spans="1:4" x14ac:dyDescent="0.2">
      <c r="A12" s="8">
        <v>1977</v>
      </c>
      <c r="B12" s="2">
        <v>50.178112900762486</v>
      </c>
      <c r="C12" s="2">
        <v>27.094427076544491</v>
      </c>
      <c r="D12" s="2">
        <v>77.272539977306977</v>
      </c>
    </row>
    <row r="13" spans="1:4" x14ac:dyDescent="0.2">
      <c r="A13" s="8">
        <v>1978</v>
      </c>
      <c r="B13" s="2">
        <v>68.548140716383259</v>
      </c>
      <c r="C13" s="2">
        <v>33.742874310553852</v>
      </c>
      <c r="D13" s="2">
        <v>102.29101502693712</v>
      </c>
    </row>
    <row r="14" spans="1:4" x14ac:dyDescent="0.2">
      <c r="A14" s="8">
        <v>1979</v>
      </c>
      <c r="B14" s="2">
        <v>91.868832105355949</v>
      </c>
      <c r="C14" s="2">
        <v>41.951228839756141</v>
      </c>
      <c r="D14" s="2">
        <v>133.82006094511209</v>
      </c>
    </row>
    <row r="15" spans="1:4" x14ac:dyDescent="0.2">
      <c r="A15" s="8">
        <v>1980</v>
      </c>
      <c r="B15" s="2">
        <v>130.43683689002609</v>
      </c>
      <c r="C15" s="2">
        <v>53.413886835971915</v>
      </c>
      <c r="D15" s="2">
        <v>183.85072372599799</v>
      </c>
    </row>
    <row r="16" spans="1:4" x14ac:dyDescent="0.2">
      <c r="A16" s="8">
        <v>1981</v>
      </c>
      <c r="B16" s="2">
        <v>192.14589629062249</v>
      </c>
      <c r="C16" s="2">
        <v>69.598655387668174</v>
      </c>
      <c r="D16" s="2">
        <v>261.74455167829069</v>
      </c>
    </row>
    <row r="17" spans="1:4" x14ac:dyDescent="0.2">
      <c r="A17" s="8">
        <v>1982</v>
      </c>
      <c r="B17" s="2">
        <v>197.20049212032666</v>
      </c>
      <c r="C17" s="2">
        <v>64.847077910456122</v>
      </c>
      <c r="D17" s="2">
        <v>262.04757003078277</v>
      </c>
    </row>
    <row r="18" spans="1:4" x14ac:dyDescent="0.2">
      <c r="A18" s="8">
        <v>1983</v>
      </c>
      <c r="B18" s="2">
        <v>174.49080402301485</v>
      </c>
      <c r="C18" s="2">
        <v>53.073373424564089</v>
      </c>
      <c r="D18" s="2">
        <v>227.56417744757894</v>
      </c>
    </row>
    <row r="19" spans="1:4" x14ac:dyDescent="0.2">
      <c r="A19" s="8">
        <v>1984</v>
      </c>
      <c r="B19" s="2">
        <v>211.76305996335333</v>
      </c>
      <c r="C19" s="2">
        <v>59.791128735993716</v>
      </c>
      <c r="D19" s="2">
        <v>271.55418869934704</v>
      </c>
    </row>
    <row r="20" spans="1:4" x14ac:dyDescent="0.2">
      <c r="A20" s="8">
        <v>1985</v>
      </c>
      <c r="B20" s="2">
        <v>171.85529516826887</v>
      </c>
      <c r="C20" s="2">
        <v>44.960850724530836</v>
      </c>
      <c r="D20" s="2">
        <v>216.81614589279971</v>
      </c>
    </row>
    <row r="21" spans="1:4" x14ac:dyDescent="0.2">
      <c r="A21" s="8">
        <v>1986</v>
      </c>
      <c r="B21" s="2">
        <v>329.82138826037891</v>
      </c>
      <c r="C21" s="2">
        <v>81.76878897408956</v>
      </c>
      <c r="D21" s="2">
        <v>411.59017723446846</v>
      </c>
    </row>
    <row r="22" spans="1:4" x14ac:dyDescent="0.2">
      <c r="A22" s="8">
        <v>1987</v>
      </c>
      <c r="B22" s="2">
        <v>592.24763240987409</v>
      </c>
      <c r="C22" s="2">
        <v>139.51909754610267</v>
      </c>
      <c r="D22" s="2">
        <v>731.76672995597676</v>
      </c>
    </row>
    <row r="23" spans="1:4" x14ac:dyDescent="0.2">
      <c r="A23" s="8">
        <v>1988</v>
      </c>
      <c r="B23" s="2">
        <v>754.75029346819247</v>
      </c>
      <c r="C23" s="2">
        <v>165.89548945904681</v>
      </c>
      <c r="D23" s="2">
        <v>920.64578292723922</v>
      </c>
    </row>
    <row r="24" spans="1:4" x14ac:dyDescent="0.2">
      <c r="A24" s="8">
        <v>1989</v>
      </c>
      <c r="B24" s="2">
        <v>969.93709501800572</v>
      </c>
      <c r="C24" s="2">
        <v>200.156890860696</v>
      </c>
      <c r="D24" s="2">
        <v>1170.0939858787017</v>
      </c>
    </row>
    <row r="25" spans="1:4" x14ac:dyDescent="0.2">
      <c r="A25" s="8">
        <v>1990</v>
      </c>
      <c r="B25" s="2">
        <v>1243.0725792464661</v>
      </c>
      <c r="C25" s="2">
        <v>239.40898931659362</v>
      </c>
      <c r="D25" s="2">
        <v>1482.4815685630597</v>
      </c>
    </row>
    <row r="26" spans="1:4" x14ac:dyDescent="0.2">
      <c r="A26" s="8">
        <v>1991</v>
      </c>
      <c r="B26" s="2">
        <v>980.86555128723262</v>
      </c>
      <c r="C26" s="2">
        <v>174.93574396089019</v>
      </c>
      <c r="D26" s="2">
        <v>1155.8012952481229</v>
      </c>
    </row>
    <row r="27" spans="1:4" x14ac:dyDescent="0.2">
      <c r="A27" s="8">
        <v>1992</v>
      </c>
      <c r="B27" s="2">
        <v>1134.8255543359865</v>
      </c>
      <c r="C27" s="2">
        <v>186.25410923117306</v>
      </c>
      <c r="D27" s="2">
        <v>1321.0796635671595</v>
      </c>
    </row>
    <row r="28" spans="1:4" x14ac:dyDescent="0.2">
      <c r="A28" s="8">
        <v>1993</v>
      </c>
      <c r="B28" s="2">
        <v>1528.6095957587938</v>
      </c>
      <c r="C28" s="2">
        <v>233.71968512569518</v>
      </c>
      <c r="D28" s="2">
        <v>1762.329280884489</v>
      </c>
    </row>
    <row r="29" spans="1:4" x14ac:dyDescent="0.2">
      <c r="A29" s="8">
        <v>1994</v>
      </c>
      <c r="B29" s="2">
        <v>1970.6417313549186</v>
      </c>
      <c r="C29" s="2">
        <v>278.76448396491202</v>
      </c>
      <c r="D29" s="2">
        <v>2249.4062153198306</v>
      </c>
    </row>
    <row r="30" spans="1:4" x14ac:dyDescent="0.2">
      <c r="A30" s="8">
        <v>1995</v>
      </c>
      <c r="B30" s="2">
        <v>2809.6907413563008</v>
      </c>
      <c r="C30" s="2">
        <v>361.95425096274414</v>
      </c>
      <c r="D30" s="2">
        <v>3171.6449923190448</v>
      </c>
    </row>
    <row r="31" spans="1:4" x14ac:dyDescent="0.2">
      <c r="A31" s="8">
        <v>1996</v>
      </c>
      <c r="B31" s="2">
        <v>3525.3569939849049</v>
      </c>
      <c r="C31" s="2">
        <v>417.89266456598091</v>
      </c>
      <c r="D31" s="2">
        <v>3943.2496585508857</v>
      </c>
    </row>
    <row r="32" spans="1:4" x14ac:dyDescent="0.2">
      <c r="A32" s="8">
        <v>1997</v>
      </c>
      <c r="B32" s="2">
        <v>4804.4193634442008</v>
      </c>
      <c r="C32" s="2">
        <v>534.15260452988616</v>
      </c>
      <c r="D32" s="2">
        <v>5338.5719679740869</v>
      </c>
    </row>
    <row r="33" spans="1:4" x14ac:dyDescent="0.2">
      <c r="A33" s="8">
        <v>1998</v>
      </c>
      <c r="B33" s="2">
        <v>7474.8840732919798</v>
      </c>
      <c r="C33" s="2">
        <v>795.5970033236265</v>
      </c>
      <c r="D33" s="2">
        <v>8270.4810766156061</v>
      </c>
    </row>
    <row r="34" spans="1:4" x14ac:dyDescent="0.2">
      <c r="A34" s="8">
        <v>1999</v>
      </c>
      <c r="B34" s="2">
        <v>11839.52737098889</v>
      </c>
      <c r="C34" s="2">
        <v>1203.6762313722152</v>
      </c>
      <c r="D34" s="2">
        <v>13043.203602361105</v>
      </c>
    </row>
    <row r="35" spans="1:4" x14ac:dyDescent="0.2">
      <c r="A35" s="8">
        <v>2000</v>
      </c>
      <c r="B35" s="2">
        <v>16107.264006793359</v>
      </c>
      <c r="C35" s="2">
        <v>1569.4502753444744</v>
      </c>
      <c r="D35" s="2">
        <v>17676.714282137833</v>
      </c>
    </row>
    <row r="36" spans="1:4" x14ac:dyDescent="0.2">
      <c r="A36" s="8">
        <v>2001</v>
      </c>
      <c r="B36" s="2">
        <v>9646.8249767360794</v>
      </c>
      <c r="C36" s="2">
        <v>895.7407520435446</v>
      </c>
      <c r="D36" s="2">
        <v>10542.565728779624</v>
      </c>
    </row>
    <row r="37" spans="1:4" x14ac:dyDescent="0.2">
      <c r="A37" s="8">
        <v>2002</v>
      </c>
      <c r="B37" s="2">
        <v>8416.543488494437</v>
      </c>
      <c r="C37" s="2">
        <v>751.72492004318735</v>
      </c>
      <c r="D37" s="2">
        <v>9168.2684085376241</v>
      </c>
    </row>
    <row r="38" spans="1:4" x14ac:dyDescent="0.2">
      <c r="A38" s="8">
        <v>2003</v>
      </c>
      <c r="B38" s="2">
        <v>8543.3796596470893</v>
      </c>
      <c r="C38" s="2">
        <v>736.86360878716891</v>
      </c>
      <c r="D38" s="2">
        <v>9280.2432684342584</v>
      </c>
    </row>
    <row r="39" spans="1:4" x14ac:dyDescent="0.2">
      <c r="A39" s="8">
        <v>2004</v>
      </c>
      <c r="B39" s="2">
        <v>12166.797371954299</v>
      </c>
      <c r="C39" s="2">
        <v>1009.2681686511053</v>
      </c>
      <c r="D39" s="2">
        <v>13176.065540605405</v>
      </c>
    </row>
    <row r="40" spans="1:4" x14ac:dyDescent="0.2">
      <c r="A40" s="8">
        <v>2005</v>
      </c>
      <c r="B40" s="2">
        <v>19814.525452494658</v>
      </c>
      <c r="C40" s="2">
        <v>1554.656995349611</v>
      </c>
      <c r="D40" s="2">
        <v>21369.182447844269</v>
      </c>
    </row>
    <row r="41" spans="1:4" x14ac:dyDescent="0.2">
      <c r="A41" s="8">
        <v>2006</v>
      </c>
      <c r="B41" s="2">
        <v>29516.208776567848</v>
      </c>
      <c r="C41" s="2">
        <v>2191.6247956370476</v>
      </c>
      <c r="D41" s="2">
        <v>31707.833572204894</v>
      </c>
    </row>
    <row r="42" spans="1:4" x14ac:dyDescent="0.2">
      <c r="A42" s="8">
        <v>2007</v>
      </c>
      <c r="B42" s="2">
        <v>44382.79305116021</v>
      </c>
      <c r="C42" s="2">
        <v>3114.6062279012654</v>
      </c>
      <c r="D42" s="2">
        <v>47497.399279061472</v>
      </c>
    </row>
    <row r="43" spans="1:4" x14ac:dyDescent="0.2">
      <c r="A43" s="8">
        <v>2008</v>
      </c>
      <c r="B43" s="2">
        <v>36782.487679027312</v>
      </c>
      <c r="C43" s="2">
        <v>2438.6614044850794</v>
      </c>
      <c r="D43" s="2">
        <v>39221.149083512391</v>
      </c>
    </row>
    <row r="44" spans="1:4" x14ac:dyDescent="0.2">
      <c r="A44" s="8">
        <v>2009</v>
      </c>
      <c r="B44" s="2">
        <v>24677.015159579762</v>
      </c>
      <c r="C44" s="2">
        <v>1516.8979465388156</v>
      </c>
      <c r="D44" s="2">
        <v>26193.913106118576</v>
      </c>
    </row>
    <row r="45" spans="1:4" x14ac:dyDescent="0.2">
      <c r="A45" s="8">
        <v>2010</v>
      </c>
      <c r="B45" s="2">
        <v>30624.113330279441</v>
      </c>
      <c r="C45" s="2">
        <v>1843.4490811220946</v>
      </c>
      <c r="D45" s="2">
        <v>32467.562411401534</v>
      </c>
    </row>
    <row r="46" spans="1:4" x14ac:dyDescent="0.2">
      <c r="A46" s="8">
        <v>2011</v>
      </c>
      <c r="B46" s="2">
        <v>41355.189158801302</v>
      </c>
      <c r="C46" s="2">
        <v>2388.3930164315934</v>
      </c>
      <c r="D46" s="2">
        <v>43743.582175232892</v>
      </c>
    </row>
    <row r="47" spans="1:4" x14ac:dyDescent="0.2">
      <c r="A47" s="8">
        <v>2012</v>
      </c>
      <c r="B47" s="2">
        <v>37791.28620301019</v>
      </c>
      <c r="C47" s="2">
        <v>2070.356643487235</v>
      </c>
      <c r="D47" s="2">
        <v>39861.642846497423</v>
      </c>
    </row>
    <row r="48" spans="1:4" x14ac:dyDescent="0.2">
      <c r="A48" s="8">
        <v>2013</v>
      </c>
      <c r="B48" s="2">
        <v>40983.443964807535</v>
      </c>
      <c r="C48" s="2">
        <v>2167.0813502037236</v>
      </c>
      <c r="D48" s="2">
        <v>43150.525315011255</v>
      </c>
    </row>
    <row r="49" spans="1:4" x14ac:dyDescent="0.2">
      <c r="A49" s="8">
        <v>2014</v>
      </c>
      <c r="B49" s="2">
        <v>38030.225434374312</v>
      </c>
      <c r="C49" s="2">
        <v>1966.4667277371727</v>
      </c>
      <c r="D49" s="2">
        <v>39996.692162111482</v>
      </c>
    </row>
    <row r="50" spans="1:4" x14ac:dyDescent="0.2">
      <c r="A50" s="8">
        <v>2015</v>
      </c>
      <c r="B50" s="2">
        <v>55089.623779112284</v>
      </c>
      <c r="C50" s="2">
        <v>2791.8477190874901</v>
      </c>
      <c r="D50" s="2">
        <v>57881.471498199775</v>
      </c>
    </row>
    <row r="51" spans="1:4" x14ac:dyDescent="0.2">
      <c r="A51" s="8">
        <v>2016</v>
      </c>
      <c r="B51" s="2">
        <v>55472.696224401727</v>
      </c>
      <c r="C51" s="2">
        <v>2748.2537548254409</v>
      </c>
      <c r="D51" s="2">
        <v>58220.949979227167</v>
      </c>
    </row>
    <row r="52" spans="1:4" x14ac:dyDescent="0.2">
      <c r="A52" s="8">
        <v>2017</v>
      </c>
      <c r="B52" s="2">
        <v>46416.502208263941</v>
      </c>
      <c r="C52" s="2">
        <v>2256.8144782999848</v>
      </c>
      <c r="D52" s="2">
        <v>48673.316686563929</v>
      </c>
    </row>
    <row r="53" spans="1:4" x14ac:dyDescent="0.2">
      <c r="A53" s="8">
        <v>2018</v>
      </c>
      <c r="B53" s="2">
        <v>23433.291506806574</v>
      </c>
      <c r="C53" s="2">
        <v>1106.4830833761459</v>
      </c>
      <c r="D53" s="2">
        <v>24539.774590182718</v>
      </c>
    </row>
    <row r="54" spans="1:4" x14ac:dyDescent="0.2">
      <c r="A54" s="8">
        <v>2019</v>
      </c>
      <c r="B54" s="2">
        <v>42270.196478990365</v>
      </c>
      <c r="C54" s="2">
        <v>1941.7633063563983</v>
      </c>
      <c r="D54" s="2">
        <v>44211.959785346764</v>
      </c>
    </row>
    <row r="55" spans="1:4" x14ac:dyDescent="0.2">
      <c r="A55" s="8">
        <v>2020</v>
      </c>
      <c r="B55" s="2">
        <v>26434.513652929305</v>
      </c>
      <c r="C55" s="2">
        <v>1186.5767030265683</v>
      </c>
      <c r="D55" s="2">
        <v>27621.090355955872</v>
      </c>
    </row>
    <row r="56" spans="1:4" x14ac:dyDescent="0.2">
      <c r="A56" s="8">
        <v>2021</v>
      </c>
      <c r="B56" s="2">
        <v>55023.396009554686</v>
      </c>
      <c r="C56" s="2">
        <v>2423.7700767170677</v>
      </c>
      <c r="D56" s="2">
        <v>57447.166086271754</v>
      </c>
    </row>
    <row r="57" spans="1:4" x14ac:dyDescent="0.2">
      <c r="A57" s="8">
        <v>2022</v>
      </c>
      <c r="B57" s="2">
        <v>44869.944476366873</v>
      </c>
      <c r="C57" s="2">
        <v>1889.1449387523712</v>
      </c>
      <c r="D57" s="2">
        <v>46759.089415119241</v>
      </c>
    </row>
    <row r="58" spans="1:4" x14ac:dyDescent="0.2">
      <c r="A58" s="8">
        <v>2023</v>
      </c>
      <c r="B58" s="2">
        <v>24777.917591194473</v>
      </c>
      <c r="C58" s="2">
        <v>973.55671028735333</v>
      </c>
      <c r="D58" s="2">
        <v>25751.474301481827</v>
      </c>
    </row>
    <row r="59" spans="1:4" x14ac:dyDescent="0.2">
      <c r="A59" s="8">
        <v>2024</v>
      </c>
      <c r="B59" s="2">
        <v>41898.930871546989</v>
      </c>
      <c r="C59" s="2">
        <v>1563.741062287221</v>
      </c>
      <c r="D59" s="2">
        <v>43462.671933834208</v>
      </c>
    </row>
    <row r="60" spans="1:4" x14ac:dyDescent="0.2">
      <c r="A60" s="8" t="s">
        <v>608</v>
      </c>
      <c r="B60" s="2">
        <v>855945.43736085994</v>
      </c>
      <c r="C60" s="2">
        <v>50691.158231048321</v>
      </c>
      <c r="D60" s="2">
        <v>906636.59559190809</v>
      </c>
    </row>
    <row r="88" spans="1:4" x14ac:dyDescent="0.2">
      <c r="A88" s="4" t="s">
        <v>612</v>
      </c>
      <c r="B88" s="4" t="s">
        <v>609</v>
      </c>
    </row>
    <row r="89" spans="1:4" x14ac:dyDescent="0.2">
      <c r="A89" s="4" t="s">
        <v>607</v>
      </c>
      <c r="B89" t="s">
        <v>614</v>
      </c>
      <c r="C89" t="s">
        <v>616</v>
      </c>
      <c r="D89" t="s">
        <v>608</v>
      </c>
    </row>
    <row r="90" spans="1:4" x14ac:dyDescent="0.2">
      <c r="A90" s="8">
        <v>1970</v>
      </c>
      <c r="B90" s="2">
        <v>12.357585832741663</v>
      </c>
      <c r="C90" s="2">
        <v>12.357585832741663</v>
      </c>
      <c r="D90" s="2">
        <v>24.715171665483325</v>
      </c>
    </row>
    <row r="91" spans="1:4" x14ac:dyDescent="0.2">
      <c r="A91" s="8">
        <v>1971</v>
      </c>
      <c r="B91" s="2">
        <v>14.682921815914053</v>
      </c>
      <c r="C91" s="2">
        <v>13.520253824327858</v>
      </c>
      <c r="D91" s="2">
        <v>28.203175640241909</v>
      </c>
    </row>
    <row r="92" spans="1:4" x14ac:dyDescent="0.2">
      <c r="A92" s="8">
        <v>1972</v>
      </c>
      <c r="B92" s="2">
        <v>16.31121527575926</v>
      </c>
      <c r="C92" s="2">
        <v>14.450574308138327</v>
      </c>
      <c r="D92" s="2">
        <v>30.761789583897588</v>
      </c>
    </row>
    <row r="93" spans="1:4" x14ac:dyDescent="0.2">
      <c r="A93" s="8">
        <v>1973</v>
      </c>
      <c r="B93" s="2">
        <v>23.614514724117058</v>
      </c>
      <c r="C93" s="2">
        <v>16.741559412133007</v>
      </c>
      <c r="D93" s="2">
        <v>40.356074136250065</v>
      </c>
    </row>
    <row r="94" spans="1:4" x14ac:dyDescent="0.2">
      <c r="A94" s="8">
        <v>1974</v>
      </c>
      <c r="B94" s="2">
        <v>31.711438949238246</v>
      </c>
      <c r="C94" s="2">
        <v>19.735535319554057</v>
      </c>
      <c r="D94" s="2">
        <v>51.446974268792303</v>
      </c>
    </row>
    <row r="95" spans="1:4" x14ac:dyDescent="0.2">
      <c r="A95" s="8">
        <v>1975</v>
      </c>
      <c r="B95" s="2">
        <v>39.64029493828815</v>
      </c>
      <c r="C95" s="2">
        <v>25.192077140663351</v>
      </c>
      <c r="D95" s="2">
        <v>64.832372078951494</v>
      </c>
    </row>
    <row r="96" spans="1:4" x14ac:dyDescent="0.2">
      <c r="A96" s="8">
        <v>1976</v>
      </c>
      <c r="B96" s="2">
        <v>34.871442044471657</v>
      </c>
      <c r="C96" s="2">
        <v>29.229781186374876</v>
      </c>
      <c r="D96" s="2">
        <v>64.101223230846529</v>
      </c>
    </row>
    <row r="97" spans="1:4" x14ac:dyDescent="0.2">
      <c r="A97" s="8">
        <v>1977</v>
      </c>
      <c r="B97" s="2">
        <v>50.178112900762486</v>
      </c>
      <c r="C97" s="2">
        <v>36.003160711375514</v>
      </c>
      <c r="D97" s="2">
        <v>86.181273612138</v>
      </c>
    </row>
    <row r="98" spans="1:4" x14ac:dyDescent="0.2">
      <c r="A98" s="8">
        <v>1978</v>
      </c>
      <c r="B98" s="2">
        <v>68.548140716383259</v>
      </c>
      <c r="C98" s="2">
        <v>44.989885909828757</v>
      </c>
      <c r="D98" s="2">
        <v>113.53802662621202</v>
      </c>
    </row>
    <row r="99" spans="1:4" x14ac:dyDescent="0.2">
      <c r="A99" s="8">
        <v>1979</v>
      </c>
      <c r="B99" s="2">
        <v>91.868832105355949</v>
      </c>
      <c r="C99" s="2">
        <v>57.0213645410523</v>
      </c>
      <c r="D99" s="2">
        <v>148.89019664640824</v>
      </c>
    </row>
    <row r="100" spans="1:4" x14ac:dyDescent="0.2">
      <c r="A100" s="8">
        <v>1980</v>
      </c>
      <c r="B100" s="2">
        <v>130.43683689002609</v>
      </c>
      <c r="C100" s="2">
        <v>75.180672931399897</v>
      </c>
      <c r="D100" s="2">
        <v>205.61750982142598</v>
      </c>
    </row>
    <row r="101" spans="1:4" x14ac:dyDescent="0.2">
      <c r="A101" s="8">
        <v>1981</v>
      </c>
      <c r="B101" s="2">
        <v>192.14589629062249</v>
      </c>
      <c r="C101" s="2">
        <v>106.63556378063005</v>
      </c>
      <c r="D101" s="2">
        <v>298.78146007125252</v>
      </c>
    </row>
    <row r="102" spans="1:4" x14ac:dyDescent="0.2">
      <c r="A102" s="8">
        <v>1982</v>
      </c>
      <c r="B102" s="2">
        <v>197.20049212032666</v>
      </c>
      <c r="C102" s="2">
        <v>136.04003962454289</v>
      </c>
      <c r="D102" s="2">
        <v>333.24053174486954</v>
      </c>
    </row>
    <row r="103" spans="1:4" x14ac:dyDescent="0.2">
      <c r="A103" s="8">
        <v>1983</v>
      </c>
      <c r="B103" s="2">
        <v>174.49080402301485</v>
      </c>
      <c r="C103" s="2">
        <v>157.22857228586921</v>
      </c>
      <c r="D103" s="2">
        <v>331.71937630888408</v>
      </c>
    </row>
    <row r="104" spans="1:4" x14ac:dyDescent="0.2">
      <c r="A104" s="8">
        <v>1984</v>
      </c>
      <c r="B104" s="2">
        <v>211.76305996335333</v>
      </c>
      <c r="C104" s="2">
        <v>181.20741785746867</v>
      </c>
      <c r="D104" s="2">
        <v>392.970477820822</v>
      </c>
    </row>
    <row r="105" spans="1:4" x14ac:dyDescent="0.2">
      <c r="A105" s="8">
        <v>1985</v>
      </c>
      <c r="B105" s="2">
        <v>171.85529516826887</v>
      </c>
      <c r="C105" s="2">
        <v>189.49110951311724</v>
      </c>
      <c r="D105" s="2">
        <v>361.3464046813861</v>
      </c>
    </row>
    <row r="106" spans="1:4" x14ac:dyDescent="0.2">
      <c r="A106" s="8">
        <v>1986</v>
      </c>
      <c r="B106" s="2">
        <v>329.82138826037891</v>
      </c>
      <c r="C106" s="2">
        <v>217.02620790706848</v>
      </c>
      <c r="D106" s="2">
        <v>546.84759616744736</v>
      </c>
    </row>
    <row r="107" spans="1:4" x14ac:dyDescent="0.2">
      <c r="A107" s="8">
        <v>1987</v>
      </c>
      <c r="B107" s="2">
        <v>592.24763240987409</v>
      </c>
      <c r="C107" s="2">
        <v>296.03563596497804</v>
      </c>
      <c r="D107" s="2">
        <v>888.28326837485213</v>
      </c>
    </row>
    <row r="108" spans="1:4" x14ac:dyDescent="0.2">
      <c r="A108" s="8">
        <v>1988</v>
      </c>
      <c r="B108" s="2">
        <v>754.75029346819247</v>
      </c>
      <c r="C108" s="2">
        <v>412.08753385401354</v>
      </c>
      <c r="D108" s="2">
        <v>1166.8378273222061</v>
      </c>
    </row>
    <row r="109" spans="1:4" x14ac:dyDescent="0.2">
      <c r="A109" s="8">
        <v>1989</v>
      </c>
      <c r="B109" s="2">
        <v>969.93709501800572</v>
      </c>
      <c r="C109" s="2">
        <v>563.72234086494404</v>
      </c>
      <c r="D109" s="2">
        <v>1533.6594358829498</v>
      </c>
    </row>
    <row r="110" spans="1:4" x14ac:dyDescent="0.2">
      <c r="A110" s="8">
        <v>1990</v>
      </c>
      <c r="B110" s="2">
        <v>1243.0725792464661</v>
      </c>
      <c r="C110" s="2">
        <v>777.96579768058348</v>
      </c>
      <c r="D110" s="2">
        <v>2021.0383769270497</v>
      </c>
    </row>
    <row r="111" spans="1:4" x14ac:dyDescent="0.2">
      <c r="A111" s="8">
        <v>1991</v>
      </c>
      <c r="B111" s="2">
        <v>980.86555128723262</v>
      </c>
      <c r="C111" s="2">
        <v>908.17463028595432</v>
      </c>
      <c r="D111" s="2">
        <v>1889.0401815731871</v>
      </c>
    </row>
    <row r="112" spans="1:4" x14ac:dyDescent="0.2">
      <c r="A112" s="8">
        <v>1992</v>
      </c>
      <c r="B112" s="2">
        <v>1134.8255543359865</v>
      </c>
      <c r="C112" s="2">
        <v>1016.6902146711766</v>
      </c>
      <c r="D112" s="2">
        <v>2151.5157690071628</v>
      </c>
    </row>
    <row r="113" spans="1:4" x14ac:dyDescent="0.2">
      <c r="A113" s="8">
        <v>1993</v>
      </c>
      <c r="B113" s="2">
        <v>1528.6095957587938</v>
      </c>
      <c r="C113" s="2">
        <v>1171.4620751292971</v>
      </c>
      <c r="D113" s="2">
        <v>2700.0716708880909</v>
      </c>
    </row>
    <row r="114" spans="1:4" x14ac:dyDescent="0.2">
      <c r="A114" s="8">
        <v>1994</v>
      </c>
      <c r="B114" s="2">
        <v>1970.6417313549186</v>
      </c>
      <c r="C114" s="2">
        <v>1371.6030023966796</v>
      </c>
      <c r="D114" s="2">
        <v>3342.2447337515982</v>
      </c>
    </row>
    <row r="115" spans="1:4" x14ac:dyDescent="0.2">
      <c r="A115" s="8">
        <v>1995</v>
      </c>
      <c r="B115" s="2">
        <v>2809.6907413563008</v>
      </c>
      <c r="C115" s="2">
        <v>1684.9266348186463</v>
      </c>
      <c r="D115" s="2">
        <v>4494.6173761749469</v>
      </c>
    </row>
    <row r="116" spans="1:4" x14ac:dyDescent="0.2">
      <c r="A116" s="8">
        <v>1996</v>
      </c>
      <c r="B116" s="2">
        <v>3525.3569939849049</v>
      </c>
      <c r="C116" s="2">
        <v>2193.824923358181</v>
      </c>
      <c r="D116" s="2">
        <v>5719.1819173430858</v>
      </c>
    </row>
    <row r="117" spans="1:4" x14ac:dyDescent="0.2">
      <c r="A117" s="8">
        <v>1997</v>
      </c>
      <c r="B117" s="2">
        <v>4804.4193634442008</v>
      </c>
      <c r="C117" s="2">
        <v>2927.7436851798234</v>
      </c>
      <c r="D117" s="2">
        <v>7732.1630486240247</v>
      </c>
    </row>
    <row r="118" spans="1:4" x14ac:dyDescent="0.2">
      <c r="A118" s="8">
        <v>1998</v>
      </c>
      <c r="B118" s="2">
        <v>7474.8840732919798</v>
      </c>
      <c r="C118" s="2">
        <v>4116.9985806864615</v>
      </c>
      <c r="D118" s="2">
        <v>11591.882653978442</v>
      </c>
    </row>
    <row r="119" spans="1:4" x14ac:dyDescent="0.2">
      <c r="A119" s="8">
        <v>1999</v>
      </c>
      <c r="B119" s="2">
        <v>11839.52737098889</v>
      </c>
      <c r="C119" s="2">
        <v>6090.775708613256</v>
      </c>
      <c r="D119" s="2">
        <v>17930.303079602145</v>
      </c>
    </row>
    <row r="120" spans="1:4" x14ac:dyDescent="0.2">
      <c r="A120" s="8">
        <v>2000</v>
      </c>
      <c r="B120" s="2">
        <v>16107.264006793359</v>
      </c>
      <c r="C120" s="2">
        <v>8750.2903617006668</v>
      </c>
      <c r="D120" s="2">
        <v>24857.554368494028</v>
      </c>
    </row>
    <row r="121" spans="1:4" x14ac:dyDescent="0.2">
      <c r="A121" s="8">
        <v>2001</v>
      </c>
      <c r="B121" s="2">
        <v>9646.8249767360794</v>
      </c>
      <c r="C121" s="2">
        <v>9974.5839582509016</v>
      </c>
      <c r="D121" s="2">
        <v>19621.408934986983</v>
      </c>
    </row>
    <row r="122" spans="1:4" x14ac:dyDescent="0.2">
      <c r="A122" s="8">
        <v>2002</v>
      </c>
      <c r="B122" s="2">
        <v>8416.543488494437</v>
      </c>
      <c r="C122" s="2">
        <v>10697.008783260952</v>
      </c>
      <c r="D122" s="2">
        <v>19113.55227175539</v>
      </c>
    </row>
    <row r="123" spans="1:4" x14ac:dyDescent="0.2">
      <c r="A123" s="8">
        <v>2003</v>
      </c>
      <c r="B123" s="2">
        <v>8543.3796596470893</v>
      </c>
      <c r="C123" s="2">
        <v>10910.707900531972</v>
      </c>
      <c r="D123" s="2">
        <v>19454.087560179061</v>
      </c>
    </row>
    <row r="124" spans="1:4" x14ac:dyDescent="0.2">
      <c r="A124" s="8">
        <v>2004</v>
      </c>
      <c r="B124" s="2">
        <v>12166.797371954299</v>
      </c>
      <c r="C124" s="2">
        <v>10976.161900725054</v>
      </c>
      <c r="D124" s="2">
        <v>23142.959272679353</v>
      </c>
    </row>
    <row r="125" spans="1:4" x14ac:dyDescent="0.2">
      <c r="A125" s="8">
        <v>2005</v>
      </c>
      <c r="B125" s="2">
        <v>19814.525452494658</v>
      </c>
      <c r="C125" s="2">
        <v>11717.614189865313</v>
      </c>
      <c r="D125" s="2">
        <v>31532.139642359973</v>
      </c>
    </row>
    <row r="126" spans="1:4" x14ac:dyDescent="0.2">
      <c r="A126" s="8">
        <v>2006</v>
      </c>
      <c r="B126" s="2">
        <v>29516.208776567848</v>
      </c>
      <c r="C126" s="2">
        <v>15691.490949831665</v>
      </c>
      <c r="D126" s="2">
        <v>45207.699726399514</v>
      </c>
    </row>
    <row r="127" spans="1:4" x14ac:dyDescent="0.2">
      <c r="A127" s="8">
        <v>2007</v>
      </c>
      <c r="B127" s="2">
        <v>44382.79305116021</v>
      </c>
      <c r="C127" s="2">
        <v>22884.740862364823</v>
      </c>
      <c r="D127" s="2">
        <v>67267.533913525025</v>
      </c>
    </row>
    <row r="128" spans="1:4" x14ac:dyDescent="0.2">
      <c r="A128" s="8">
        <v>2008</v>
      </c>
      <c r="B128" s="2">
        <v>36782.487679027312</v>
      </c>
      <c r="C128" s="2">
        <v>28532.562466240863</v>
      </c>
      <c r="D128" s="2">
        <v>65315.050145268178</v>
      </c>
    </row>
    <row r="129" spans="1:4" x14ac:dyDescent="0.2">
      <c r="A129" s="8">
        <v>2009</v>
      </c>
      <c r="B129" s="2">
        <v>24677.015159579762</v>
      </c>
      <c r="C129" s="2">
        <v>31034.606023765959</v>
      </c>
      <c r="D129" s="2">
        <v>55711.62118334572</v>
      </c>
    </row>
    <row r="130" spans="1:4" x14ac:dyDescent="0.2">
      <c r="A130" s="8">
        <v>2010</v>
      </c>
      <c r="B130" s="2">
        <v>30624.113330279441</v>
      </c>
      <c r="C130" s="2">
        <v>33196.523599322914</v>
      </c>
      <c r="D130" s="2">
        <v>63820.636929602355</v>
      </c>
    </row>
    <row r="131" spans="1:4" x14ac:dyDescent="0.2">
      <c r="A131" s="8">
        <v>2011</v>
      </c>
      <c r="B131" s="2">
        <v>41355.189158801302</v>
      </c>
      <c r="C131" s="2">
        <v>35564.319675769606</v>
      </c>
      <c r="D131" s="2">
        <v>76919.508834570908</v>
      </c>
    </row>
    <row r="132" spans="1:4" x14ac:dyDescent="0.2">
      <c r="A132" s="8">
        <v>2012</v>
      </c>
      <c r="B132" s="2">
        <v>37791.28620301019</v>
      </c>
      <c r="C132" s="2">
        <v>34246.018306139602</v>
      </c>
      <c r="D132" s="2">
        <v>72037.304509149792</v>
      </c>
    </row>
    <row r="133" spans="1:4" x14ac:dyDescent="0.2">
      <c r="A133" s="8">
        <v>2013</v>
      </c>
      <c r="B133" s="2">
        <v>40983.443964807535</v>
      </c>
      <c r="C133" s="2">
        <v>35086.209563295648</v>
      </c>
      <c r="D133" s="2">
        <v>76069.653528103183</v>
      </c>
    </row>
    <row r="134" spans="1:4" x14ac:dyDescent="0.2">
      <c r="A134" s="8">
        <v>2014</v>
      </c>
      <c r="B134" s="2">
        <v>38030.225434374312</v>
      </c>
      <c r="C134" s="2">
        <v>37756.851618254557</v>
      </c>
      <c r="D134" s="2">
        <v>75787.077052628869</v>
      </c>
    </row>
    <row r="135" spans="1:4" x14ac:dyDescent="0.2">
      <c r="A135" s="8">
        <v>2015</v>
      </c>
      <c r="B135" s="2">
        <v>55089.623779112284</v>
      </c>
      <c r="C135" s="2">
        <v>42649.953708021116</v>
      </c>
      <c r="D135" s="2">
        <v>97739.5774871334</v>
      </c>
    </row>
    <row r="136" spans="1:4" x14ac:dyDescent="0.2">
      <c r="A136" s="8">
        <v>2016</v>
      </c>
      <c r="B136" s="2">
        <v>55472.696224401727</v>
      </c>
      <c r="C136" s="2">
        <v>45473.455121141211</v>
      </c>
      <c r="D136" s="2">
        <v>100946.15134554294</v>
      </c>
    </row>
    <row r="137" spans="1:4" x14ac:dyDescent="0.2">
      <c r="A137" s="8">
        <v>2017</v>
      </c>
      <c r="B137" s="2">
        <v>46416.502208263941</v>
      </c>
      <c r="C137" s="2">
        <v>47198.498322191954</v>
      </c>
      <c r="D137" s="2">
        <v>93615.000530455902</v>
      </c>
    </row>
    <row r="138" spans="1:4" x14ac:dyDescent="0.2">
      <c r="A138" s="8">
        <v>2018</v>
      </c>
      <c r="B138" s="2">
        <v>23433.291506806574</v>
      </c>
      <c r="C138" s="2">
        <v>43688.46783059177</v>
      </c>
      <c r="D138" s="2">
        <v>67121.75933739834</v>
      </c>
    </row>
    <row r="139" spans="1:4" x14ac:dyDescent="0.2">
      <c r="A139" s="8">
        <v>2019</v>
      </c>
      <c r="B139" s="2">
        <v>42270.196478990365</v>
      </c>
      <c r="C139" s="2">
        <v>44536.462039514983</v>
      </c>
      <c r="D139" s="2">
        <v>86806.658518505341</v>
      </c>
    </row>
    <row r="140" spans="1:4" x14ac:dyDescent="0.2">
      <c r="A140" s="8">
        <v>2020</v>
      </c>
      <c r="B140" s="2">
        <v>26434.513652929305</v>
      </c>
      <c r="C140" s="2">
        <v>38805.440014278392</v>
      </c>
      <c r="D140" s="2">
        <v>65239.953667207694</v>
      </c>
    </row>
    <row r="141" spans="1:4" x14ac:dyDescent="0.2">
      <c r="A141" s="8">
        <v>2021</v>
      </c>
      <c r="B141" s="2">
        <v>55023.396009554686</v>
      </c>
      <c r="C141" s="2">
        <v>38715.57997130898</v>
      </c>
      <c r="D141" s="2">
        <v>93738.975980863674</v>
      </c>
    </row>
    <row r="142" spans="1:4" x14ac:dyDescent="0.2">
      <c r="A142" s="8">
        <v>2022</v>
      </c>
      <c r="B142" s="2">
        <v>44869.944476366873</v>
      </c>
      <c r="C142" s="2">
        <v>38406.268424929556</v>
      </c>
      <c r="D142" s="2">
        <v>83276.212901296429</v>
      </c>
    </row>
    <row r="143" spans="1:4" x14ac:dyDescent="0.2">
      <c r="A143" s="8">
        <v>2023</v>
      </c>
      <c r="B143" s="2">
        <v>24777.917591194473</v>
      </c>
      <c r="C143" s="2">
        <v>38675.193641807149</v>
      </c>
      <c r="D143" s="2">
        <v>63453.111233001619</v>
      </c>
    </row>
    <row r="144" spans="1:4" x14ac:dyDescent="0.2">
      <c r="A144" s="8">
        <v>2024</v>
      </c>
      <c r="B144" s="2">
        <v>41898.930871546989</v>
      </c>
      <c r="C144" s="2">
        <v>38600.940520318465</v>
      </c>
      <c r="D144" s="2">
        <v>80499.871391865454</v>
      </c>
    </row>
    <row r="145" spans="1:4" x14ac:dyDescent="0.2">
      <c r="A145" s="8" t="s">
        <v>608</v>
      </c>
      <c r="B145" s="2">
        <v>855945.43736085994</v>
      </c>
      <c r="C145" s="2">
        <v>778634.01187901432</v>
      </c>
      <c r="D145" s="2">
        <v>1634579.4492398738</v>
      </c>
    </row>
    <row r="177" spans="1:4" x14ac:dyDescent="0.2">
      <c r="A177" s="4" t="s">
        <v>612</v>
      </c>
      <c r="B177" s="4" t="s">
        <v>609</v>
      </c>
    </row>
    <row r="178" spans="1:4" x14ac:dyDescent="0.2">
      <c r="A178" s="4" t="s">
        <v>607</v>
      </c>
      <c r="B178" t="s">
        <v>615</v>
      </c>
      <c r="C178" t="s">
        <v>606</v>
      </c>
      <c r="D178" t="s">
        <v>608</v>
      </c>
    </row>
    <row r="179" spans="1:4" x14ac:dyDescent="0.2">
      <c r="A179" s="8">
        <v>1970</v>
      </c>
      <c r="B179" s="10">
        <v>0</v>
      </c>
      <c r="C179" s="10">
        <v>4.7220140023282085E-2</v>
      </c>
      <c r="D179" s="10">
        <v>4.7220140023282085E-2</v>
      </c>
    </row>
    <row r="180" spans="1:4" x14ac:dyDescent="0.2">
      <c r="A180" s="8">
        <v>1971</v>
      </c>
      <c r="B180" s="10">
        <v>0.18817073291219777</v>
      </c>
      <c r="C180" s="10">
        <v>5.4644251791602302E-2</v>
      </c>
      <c r="D180" s="10">
        <v>0.24281498470380009</v>
      </c>
    </row>
    <row r="181" spans="1:4" x14ac:dyDescent="0.2">
      <c r="A181" s="8">
        <v>1972</v>
      </c>
      <c r="B181" s="10">
        <v>0.11089710074464776</v>
      </c>
      <c r="C181" s="10">
        <v>6.3881389287516868E-2</v>
      </c>
      <c r="D181" s="10">
        <v>0.17477849003216461</v>
      </c>
    </row>
    <row r="182" spans="1:4" x14ac:dyDescent="0.2">
      <c r="A182" s="8">
        <v>1973</v>
      </c>
      <c r="B182" s="10">
        <v>0.44774710681499741</v>
      </c>
      <c r="C182" s="10">
        <v>0.11847047061847996</v>
      </c>
      <c r="D182" s="10">
        <v>0.56621757743347734</v>
      </c>
    </row>
    <row r="183" spans="1:4" x14ac:dyDescent="0.2">
      <c r="A183" s="8">
        <v>1974</v>
      </c>
      <c r="B183" s="10">
        <v>0.34287912835456047</v>
      </c>
      <c r="C183" s="10">
        <v>0.16714355406778936</v>
      </c>
      <c r="D183" s="10">
        <v>0.51002268242234983</v>
      </c>
    </row>
    <row r="184" spans="1:4" x14ac:dyDescent="0.2">
      <c r="A184" s="8">
        <v>1975</v>
      </c>
      <c r="B184" s="10">
        <v>0.25003141616316871</v>
      </c>
      <c r="C184" s="10">
        <v>0.10484570374597027</v>
      </c>
      <c r="D184" s="10">
        <v>0.35487711990913895</v>
      </c>
    </row>
    <row r="185" spans="1:4" x14ac:dyDescent="0.2">
      <c r="A185" s="8">
        <v>1976</v>
      </c>
      <c r="B185" s="10">
        <v>-0.12030316376910477</v>
      </c>
      <c r="C185" s="10">
        <v>9.2815220186309513E-2</v>
      </c>
      <c r="D185" s="10">
        <v>-2.7487943582795257E-2</v>
      </c>
    </row>
    <row r="186" spans="1:4" x14ac:dyDescent="0.2">
      <c r="A186" s="8">
        <v>1977</v>
      </c>
      <c r="B186" s="10">
        <v>0.43894573779800061</v>
      </c>
      <c r="C186" s="10">
        <v>9.6930856082707559E-2</v>
      </c>
      <c r="D186" s="10">
        <v>0.53587659388070819</v>
      </c>
    </row>
    <row r="187" spans="1:4" x14ac:dyDescent="0.2">
      <c r="A187" s="8">
        <v>1978</v>
      </c>
      <c r="B187" s="10">
        <v>0.36609642638317763</v>
      </c>
      <c r="C187" s="10">
        <v>7.7978014064391699E-2</v>
      </c>
      <c r="D187" s="10">
        <v>0.44407444044756933</v>
      </c>
    </row>
    <row r="188" spans="1:4" x14ac:dyDescent="0.2">
      <c r="A188" s="8">
        <v>1979</v>
      </c>
      <c r="B188" s="10">
        <v>0.34020895600161705</v>
      </c>
      <c r="C188" s="10">
        <v>0.11512247233014726</v>
      </c>
      <c r="D188" s="10">
        <v>0.45533142833176432</v>
      </c>
    </row>
    <row r="189" spans="1:4" x14ac:dyDescent="0.2">
      <c r="A189" s="8">
        <v>1980</v>
      </c>
      <c r="B189" s="10">
        <v>0.41981599091670208</v>
      </c>
      <c r="C189" s="10">
        <v>0.13053545689500751</v>
      </c>
      <c r="D189" s="10">
        <v>0.55035144781170953</v>
      </c>
    </row>
    <row r="190" spans="1:4" x14ac:dyDescent="0.2">
      <c r="A190" s="8">
        <v>1981</v>
      </c>
      <c r="B190" s="10">
        <v>0.47309533772752044</v>
      </c>
      <c r="C190" s="10">
        <v>0.10150714648163288</v>
      </c>
      <c r="D190" s="10">
        <v>0.57460248420915327</v>
      </c>
    </row>
    <row r="191" spans="1:4" x14ac:dyDescent="0.2">
      <c r="A191" s="8">
        <v>1982</v>
      </c>
      <c r="B191" s="10">
        <v>2.6306030611546571E-2</v>
      </c>
      <c r="C191" s="10">
        <v>8.1130868418377841E-2</v>
      </c>
      <c r="D191" s="10">
        <v>0.10743689902992441</v>
      </c>
    </row>
    <row r="192" spans="1:4" x14ac:dyDescent="0.2">
      <c r="A192" s="8">
        <v>1983</v>
      </c>
      <c r="B192" s="10">
        <v>-0.11516040276134276</v>
      </c>
      <c r="C192" s="10">
        <v>7.7252723865774725E-2</v>
      </c>
      <c r="D192" s="10">
        <v>-3.7907678895568037E-2</v>
      </c>
    </row>
    <row r="193" spans="1:4" x14ac:dyDescent="0.2">
      <c r="A193" s="8">
        <v>1984</v>
      </c>
      <c r="B193" s="10">
        <v>0.21360584673231475</v>
      </c>
      <c r="C193" s="10">
        <v>7.9232328482273851E-2</v>
      </c>
      <c r="D193" s="10">
        <v>0.2928381752145886</v>
      </c>
    </row>
    <row r="194" spans="1:4" x14ac:dyDescent="0.2">
      <c r="A194" s="8">
        <v>1985</v>
      </c>
      <c r="B194" s="10">
        <v>-0.18845479849975111</v>
      </c>
      <c r="C194" s="10">
        <v>5.5268201428267785E-2</v>
      </c>
      <c r="D194" s="10">
        <v>-0.13318659707148334</v>
      </c>
    </row>
    <row r="195" spans="1:4" x14ac:dyDescent="0.2">
      <c r="A195" s="8">
        <v>1986</v>
      </c>
      <c r="B195" s="10">
        <v>0.91918083139329831</v>
      </c>
      <c r="C195" s="10">
        <v>5.2394149768332739E-2</v>
      </c>
      <c r="D195" s="10">
        <v>0.9715749811616311</v>
      </c>
    </row>
    <row r="196" spans="1:4" x14ac:dyDescent="0.2">
      <c r="A196" s="8">
        <v>1987</v>
      </c>
      <c r="B196" s="10">
        <v>0.79566169293521272</v>
      </c>
      <c r="C196" s="10">
        <v>7.1763685109351702E-2</v>
      </c>
      <c r="D196" s="10">
        <v>0.86742537804456443</v>
      </c>
    </row>
    <row r="197" spans="1:4" x14ac:dyDescent="0.2">
      <c r="A197" s="8">
        <v>1988</v>
      </c>
      <c r="B197" s="10">
        <v>0.2743829644317699</v>
      </c>
      <c r="C197" s="10">
        <v>6.5134153194451094E-2</v>
      </c>
      <c r="D197" s="10">
        <v>0.339517117626221</v>
      </c>
    </row>
    <row r="198" spans="1:4" x14ac:dyDescent="0.2">
      <c r="A198" s="8">
        <v>1989</v>
      </c>
      <c r="B198" s="10">
        <v>0.28510992763049781</v>
      </c>
      <c r="C198" s="10">
        <v>7.1477388277844375E-2</v>
      </c>
      <c r="D198" s="10">
        <v>0.3565873159083422</v>
      </c>
    </row>
    <row r="199" spans="1:4" x14ac:dyDescent="0.2">
      <c r="A199" s="8">
        <v>1990</v>
      </c>
      <c r="B199" s="10">
        <v>0.28160123541144699</v>
      </c>
      <c r="C199" s="10">
        <v>7.9878494717877044E-2</v>
      </c>
      <c r="D199" s="10">
        <v>0.36147973012932405</v>
      </c>
    </row>
    <row r="200" spans="1:4" x14ac:dyDescent="0.2">
      <c r="A200" s="8">
        <v>1991</v>
      </c>
      <c r="B200" s="10">
        <v>-0.21093460859556556</v>
      </c>
      <c r="C200" s="10">
        <v>8.6656589447414584E-2</v>
      </c>
      <c r="D200" s="10">
        <v>-0.12427801914815098</v>
      </c>
    </row>
    <row r="201" spans="1:4" x14ac:dyDescent="0.2">
      <c r="A201" s="8">
        <v>1992</v>
      </c>
      <c r="B201" s="10">
        <v>0.1569634113938505</v>
      </c>
      <c r="C201" s="10">
        <v>7.3440669291872498E-2</v>
      </c>
      <c r="D201" s="10">
        <v>0.23040408068572299</v>
      </c>
    </row>
    <row r="202" spans="1:4" x14ac:dyDescent="0.2">
      <c r="A202" s="8">
        <v>1993</v>
      </c>
      <c r="B202" s="10">
        <v>0.34699962467202261</v>
      </c>
      <c r="C202" s="10">
        <v>8.0858755320608683E-2</v>
      </c>
      <c r="D202" s="10">
        <v>0.42785837999263132</v>
      </c>
    </row>
    <row r="203" spans="1:4" x14ac:dyDescent="0.2">
      <c r="A203" s="8">
        <v>1994</v>
      </c>
      <c r="B203" s="10">
        <v>0.28917268138481256</v>
      </c>
      <c r="C203" s="10">
        <v>9.8081576345723953E-2</v>
      </c>
      <c r="D203" s="10">
        <v>0.38725425773053651</v>
      </c>
    </row>
    <row r="204" spans="1:4" x14ac:dyDescent="0.2">
      <c r="A204" s="8">
        <v>1995</v>
      </c>
      <c r="B204" s="10">
        <v>0.42577450616784218</v>
      </c>
      <c r="C204" s="10">
        <v>8.67596757855911E-2</v>
      </c>
      <c r="D204" s="10">
        <v>0.51253418195343325</v>
      </c>
    </row>
    <row r="205" spans="1:4" x14ac:dyDescent="0.2">
      <c r="A205" s="8">
        <v>1996</v>
      </c>
      <c r="B205" s="10">
        <v>0.25471353202492875</v>
      </c>
      <c r="C205" s="10">
        <v>6.61963807076031E-2</v>
      </c>
      <c r="D205" s="10">
        <v>0.32090991273253183</v>
      </c>
    </row>
    <row r="206" spans="1:4" x14ac:dyDescent="0.2">
      <c r="A206" s="8">
        <v>1997</v>
      </c>
      <c r="B206" s="10">
        <v>0.3628178285608179</v>
      </c>
      <c r="C206" s="10">
        <v>4.4565708952409792E-2</v>
      </c>
      <c r="D206" s="10">
        <v>0.4073835375132277</v>
      </c>
    </row>
    <row r="207" spans="1:4" x14ac:dyDescent="0.2">
      <c r="A207" s="8">
        <v>1998</v>
      </c>
      <c r="B207" s="10">
        <v>0.55583505681597534</v>
      </c>
      <c r="C207" s="10">
        <v>4.6919666498717587E-2</v>
      </c>
      <c r="D207" s="10">
        <v>0.60275472331469293</v>
      </c>
    </row>
    <row r="208" spans="1:4" x14ac:dyDescent="0.2">
      <c r="A208" s="8">
        <v>1999</v>
      </c>
      <c r="B208" s="10">
        <v>0.58390782450953749</v>
      </c>
      <c r="C208" s="10">
        <v>4.3396883849730589E-2</v>
      </c>
      <c r="D208" s="10">
        <v>0.6273047083592681</v>
      </c>
    </row>
    <row r="209" spans="1:4" x14ac:dyDescent="0.2">
      <c r="A209" s="8">
        <v>2000</v>
      </c>
      <c r="B209" s="10">
        <v>0.36046511841865936</v>
      </c>
      <c r="C209" s="10">
        <v>4.9368080115609135E-2</v>
      </c>
      <c r="D209" s="10">
        <v>0.40983319853426847</v>
      </c>
    </row>
    <row r="210" spans="1:4" x14ac:dyDescent="0.2">
      <c r="A210" s="8">
        <v>2001</v>
      </c>
      <c r="B210" s="10">
        <v>-0.40108854162522833</v>
      </c>
      <c r="C210" s="10">
        <v>3.9615529171501719E-2</v>
      </c>
      <c r="D210" s="10">
        <v>-0.36147301245372659</v>
      </c>
    </row>
    <row r="211" spans="1:4" x14ac:dyDescent="0.2">
      <c r="A211" s="8">
        <v>2002</v>
      </c>
      <c r="B211" s="10">
        <v>-0.1275322700690168</v>
      </c>
      <c r="C211" s="10">
        <v>3.554213254560537E-2</v>
      </c>
      <c r="D211" s="10">
        <v>-9.1990137523411425E-2</v>
      </c>
    </row>
    <row r="212" spans="1:4" x14ac:dyDescent="0.2">
      <c r="A212" s="8">
        <v>2003</v>
      </c>
      <c r="B212" s="10">
        <v>1.506986464527138E-2</v>
      </c>
      <c r="C212" s="10">
        <v>3.9745624299609546E-2</v>
      </c>
      <c r="D212" s="10">
        <v>5.4815488944880926E-2</v>
      </c>
    </row>
    <row r="213" spans="1:4" x14ac:dyDescent="0.2">
      <c r="A213" s="8">
        <v>2004</v>
      </c>
      <c r="B213" s="10">
        <v>0.42411994511044426</v>
      </c>
      <c r="C213" s="10">
        <v>5.7254132279322786E-2</v>
      </c>
      <c r="D213" s="10">
        <v>0.48137407738976706</v>
      </c>
    </row>
    <row r="214" spans="1:4" x14ac:dyDescent="0.2">
      <c r="A214" s="8">
        <v>2005</v>
      </c>
      <c r="B214" s="10">
        <v>0.6285736374774471</v>
      </c>
      <c r="C214" s="10">
        <v>5.6684356262420438E-2</v>
      </c>
      <c r="D214" s="10">
        <v>0.68525799373986751</v>
      </c>
    </row>
    <row r="215" spans="1:4" x14ac:dyDescent="0.2">
      <c r="A215" s="8">
        <v>2006</v>
      </c>
      <c r="B215" s="10">
        <v>0.48962481323779294</v>
      </c>
      <c r="C215" s="10">
        <v>5.8076608733047694E-2</v>
      </c>
      <c r="D215" s="10">
        <v>0.5477014219708406</v>
      </c>
    </row>
    <row r="216" spans="1:4" x14ac:dyDescent="0.2">
      <c r="A216" s="8">
        <v>2007</v>
      </c>
      <c r="B216" s="10">
        <v>0.50367526490714343</v>
      </c>
      <c r="C216" s="10">
        <v>5.8468923119352215E-2</v>
      </c>
      <c r="D216" s="10">
        <v>0.56214418802649568</v>
      </c>
    </row>
    <row r="217" spans="1:4" x14ac:dyDescent="0.2">
      <c r="A217" s="8">
        <v>2008</v>
      </c>
      <c r="B217" s="10">
        <v>-0.17124441364859566</v>
      </c>
      <c r="C217" s="10">
        <v>7.8565864646320593E-2</v>
      </c>
      <c r="D217" s="10">
        <v>-9.2678549002275068E-2</v>
      </c>
    </row>
    <row r="218" spans="1:4" x14ac:dyDescent="0.2">
      <c r="A218" s="8">
        <v>2009</v>
      </c>
      <c r="B218" s="10">
        <v>-0.32910967374155786</v>
      </c>
      <c r="C218" s="10">
        <v>2.1165450194592664E-2</v>
      </c>
      <c r="D218" s="10">
        <v>-0.30794422354696521</v>
      </c>
    </row>
    <row r="219" spans="1:4" x14ac:dyDescent="0.2">
      <c r="A219" s="8">
        <v>2010</v>
      </c>
      <c r="B219" s="10">
        <v>0.24099746797744226</v>
      </c>
      <c r="C219" s="10">
        <v>4.2297849990792856E-2</v>
      </c>
      <c r="D219" s="10">
        <v>0.28329531796823509</v>
      </c>
    </row>
    <row r="220" spans="1:4" x14ac:dyDescent="0.2">
      <c r="A220" s="8">
        <v>2011</v>
      </c>
      <c r="B220" s="10">
        <v>0.35041262134801343</v>
      </c>
      <c r="C220" s="10">
        <v>5.4198247373878419E-2</v>
      </c>
      <c r="D220" s="10">
        <v>0.40461086872189184</v>
      </c>
    </row>
    <row r="221" spans="1:4" x14ac:dyDescent="0.2">
      <c r="A221" s="8">
        <v>2012</v>
      </c>
      <c r="B221" s="10">
        <v>-8.6177890327280404E-2</v>
      </c>
      <c r="C221" s="10">
        <v>3.6064342687494672E-2</v>
      </c>
      <c r="D221" s="10">
        <v>-5.0113547639785733E-2</v>
      </c>
    </row>
    <row r="222" spans="1:4" x14ac:dyDescent="0.2">
      <c r="A222" s="8">
        <v>2013</v>
      </c>
      <c r="B222" s="10">
        <v>8.4468089936115431E-2</v>
      </c>
      <c r="C222" s="10">
        <v>2.2607706092235419E-2</v>
      </c>
      <c r="D222" s="10">
        <v>0.10707579602835085</v>
      </c>
    </row>
    <row r="223" spans="1:4" x14ac:dyDescent="0.2">
      <c r="A223" s="8">
        <v>2014</v>
      </c>
      <c r="B223" s="10">
        <v>-7.205881801854308E-2</v>
      </c>
      <c r="C223" s="10">
        <v>2.031855177913627E-2</v>
      </c>
      <c r="D223" s="10">
        <v>-5.1740266239406807E-2</v>
      </c>
    </row>
    <row r="224" spans="1:4" x14ac:dyDescent="0.2">
      <c r="A224" s="8">
        <v>2015</v>
      </c>
      <c r="B224" s="10">
        <v>0.44857473627591293</v>
      </c>
      <c r="C224" s="10">
        <v>2.2926347015487066E-2</v>
      </c>
      <c r="D224" s="10">
        <v>0.4715010832914</v>
      </c>
    </row>
    <row r="225" spans="1:4" x14ac:dyDescent="0.2">
      <c r="A225" s="8">
        <v>2016</v>
      </c>
      <c r="B225" s="10">
        <v>6.9536224611990161E-3</v>
      </c>
      <c r="C225" s="10">
        <v>1.8952891356944404E-2</v>
      </c>
      <c r="D225" s="10">
        <v>2.590651381814342E-2</v>
      </c>
    </row>
    <row r="226" spans="1:4" x14ac:dyDescent="0.2">
      <c r="A226" s="8">
        <v>2017</v>
      </c>
      <c r="B226" s="10">
        <v>-0.16325498186536824</v>
      </c>
      <c r="C226" s="10">
        <v>2.9702970297029764E-2</v>
      </c>
      <c r="D226" s="10">
        <v>-0.13355201156833849</v>
      </c>
    </row>
    <row r="227" spans="1:4" x14ac:dyDescent="0.2">
      <c r="A227" s="8">
        <v>2018</v>
      </c>
      <c r="B227" s="10">
        <v>-0.49515171561905114</v>
      </c>
      <c r="C227" s="10">
        <v>2.7896672091382656E-2</v>
      </c>
      <c r="D227" s="10">
        <v>-0.4672550435276685</v>
      </c>
    </row>
    <row r="228" spans="1:4" x14ac:dyDescent="0.2">
      <c r="A228" s="8">
        <v>2019</v>
      </c>
      <c r="B228" s="10">
        <v>0.80385228710667089</v>
      </c>
      <c r="C228" s="10">
        <v>2.3381426807823614E-2</v>
      </c>
      <c r="D228" s="10">
        <v>0.82723371391449452</v>
      </c>
    </row>
    <row r="229" spans="1:4" x14ac:dyDescent="0.2">
      <c r="A229" s="8">
        <v>2020</v>
      </c>
      <c r="B229" s="10">
        <v>-0.37462997916113072</v>
      </c>
      <c r="C229" s="10">
        <v>1.9014736130201298E-2</v>
      </c>
      <c r="D229" s="10">
        <v>-0.3556152430309294</v>
      </c>
    </row>
    <row r="230" spans="1:4" x14ac:dyDescent="0.2">
      <c r="A230" s="8">
        <v>2021</v>
      </c>
      <c r="B230" s="10">
        <v>1.0814983294938489</v>
      </c>
      <c r="C230" s="10">
        <v>4.6247133783945953E-2</v>
      </c>
      <c r="D230" s="10">
        <v>1.1277454632777948</v>
      </c>
    </row>
    <row r="231" spans="1:4" x14ac:dyDescent="0.2">
      <c r="A231" s="8">
        <v>2022</v>
      </c>
      <c r="B231" s="10">
        <v>-0.18452971407698449</v>
      </c>
      <c r="C231" s="10">
        <v>7.1552112070550816E-2</v>
      </c>
      <c r="D231" s="10">
        <v>-0.11297760200643367</v>
      </c>
    </row>
    <row r="232" spans="1:4" x14ac:dyDescent="0.2">
      <c r="A232" s="8">
        <v>2023</v>
      </c>
      <c r="B232" s="10">
        <v>-0.44778363600951032</v>
      </c>
      <c r="C232" s="10">
        <v>5.2772546442724888E-2</v>
      </c>
      <c r="D232" s="10">
        <v>-0.39501108956678543</v>
      </c>
    </row>
    <row r="233" spans="1:4" x14ac:dyDescent="0.2">
      <c r="A233" s="8">
        <v>2024</v>
      </c>
      <c r="B233" s="10">
        <v>0.69097869977729465</v>
      </c>
      <c r="C233" s="10">
        <v>3.7620799566119703E-2</v>
      </c>
      <c r="D233" s="10">
        <v>0.72859949934341439</v>
      </c>
    </row>
    <row r="234" spans="1:4" x14ac:dyDescent="0.2">
      <c r="A234" s="8" t="s">
        <v>608</v>
      </c>
      <c r="B234" s="10">
        <v>11.791770818877684</v>
      </c>
      <c r="C234" s="10">
        <v>3.4515436098901895</v>
      </c>
      <c r="D234" s="10">
        <v>15.24331442876788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D39D-821D-6945-8056-47FACB31B8FD}">
  <dimension ref="A4:BQ270"/>
  <sheetViews>
    <sheetView workbookViewId="0">
      <selection activeCell="D307" sqref="D307"/>
    </sheetView>
  </sheetViews>
  <sheetFormatPr baseColWidth="10" defaultRowHeight="16" x14ac:dyDescent="0.2"/>
  <cols>
    <col min="1" max="1" width="15.1640625" customWidth="1"/>
    <col min="2" max="2" width="14.6640625" customWidth="1"/>
    <col min="3" max="3" width="16" customWidth="1"/>
    <col min="4" max="4" width="15.5" customWidth="1"/>
  </cols>
  <sheetData>
    <row r="4" spans="1:69" x14ac:dyDescent="0.2">
      <c r="A4" t="s">
        <v>0</v>
      </c>
      <c r="B4" t="s">
        <v>1</v>
      </c>
      <c r="C4" t="s">
        <v>2</v>
      </c>
      <c r="D4" t="s">
        <v>3</v>
      </c>
      <c r="E4" t="s">
        <v>4</v>
      </c>
      <c r="F4" t="s">
        <v>5</v>
      </c>
      <c r="G4" t="s">
        <v>6</v>
      </c>
      <c r="H4" t="s">
        <v>7</v>
      </c>
      <c r="I4" t="s">
        <v>8</v>
      </c>
      <c r="J4" t="s">
        <v>9</v>
      </c>
      <c r="K4" t="s">
        <v>10</v>
      </c>
      <c r="L4" t="s">
        <v>11</v>
      </c>
      <c r="M4" t="s">
        <v>12</v>
      </c>
      <c r="N4" t="s">
        <v>13</v>
      </c>
      <c r="O4" t="s">
        <v>14</v>
      </c>
      <c r="P4" t="s">
        <v>15</v>
      </c>
      <c r="Q4" t="s">
        <v>16</v>
      </c>
      <c r="R4" t="s">
        <v>17</v>
      </c>
      <c r="S4" t="s">
        <v>18</v>
      </c>
      <c r="T4" t="s">
        <v>19</v>
      </c>
      <c r="U4" t="s">
        <v>20</v>
      </c>
      <c r="V4" t="s">
        <v>21</v>
      </c>
      <c r="W4" t="s">
        <v>22</v>
      </c>
      <c r="X4" t="s">
        <v>23</v>
      </c>
      <c r="Y4" t="s">
        <v>24</v>
      </c>
      <c r="Z4" t="s">
        <v>25</v>
      </c>
      <c r="AA4" t="s">
        <v>26</v>
      </c>
      <c r="AB4" t="s">
        <v>27</v>
      </c>
      <c r="AC4" t="s">
        <v>28</v>
      </c>
      <c r="AD4" t="s">
        <v>29</v>
      </c>
      <c r="AE4" t="s">
        <v>30</v>
      </c>
      <c r="AF4" t="s">
        <v>31</v>
      </c>
      <c r="AG4" t="s">
        <v>32</v>
      </c>
      <c r="AH4" t="s">
        <v>33</v>
      </c>
      <c r="AI4" t="s">
        <v>34</v>
      </c>
      <c r="AJ4" t="s">
        <v>35</v>
      </c>
      <c r="AK4" t="s">
        <v>36</v>
      </c>
      <c r="AL4" t="s">
        <v>37</v>
      </c>
      <c r="AM4" t="s">
        <v>38</v>
      </c>
      <c r="AN4" t="s">
        <v>39</v>
      </c>
      <c r="AO4" t="s">
        <v>40</v>
      </c>
      <c r="AP4" t="s">
        <v>41</v>
      </c>
      <c r="AQ4" t="s">
        <v>42</v>
      </c>
      <c r="AR4" t="s">
        <v>43</v>
      </c>
      <c r="AS4" t="s">
        <v>44</v>
      </c>
      <c r="AT4" t="s">
        <v>45</v>
      </c>
      <c r="AU4" t="s">
        <v>46</v>
      </c>
      <c r="AV4" t="s">
        <v>47</v>
      </c>
      <c r="AW4" t="s">
        <v>48</v>
      </c>
      <c r="AX4" t="s">
        <v>49</v>
      </c>
      <c r="AY4" t="s">
        <v>50</v>
      </c>
      <c r="AZ4" t="s">
        <v>51</v>
      </c>
      <c r="BA4" t="s">
        <v>52</v>
      </c>
      <c r="BB4" t="s">
        <v>53</v>
      </c>
      <c r="BC4" t="s">
        <v>54</v>
      </c>
      <c r="BD4" t="s">
        <v>55</v>
      </c>
      <c r="BE4" t="s">
        <v>56</v>
      </c>
      <c r="BF4" t="s">
        <v>57</v>
      </c>
      <c r="BG4" t="s">
        <v>58</v>
      </c>
      <c r="BH4" t="s">
        <v>59</v>
      </c>
      <c r="BI4" t="s">
        <v>60</v>
      </c>
      <c r="BJ4" t="s">
        <v>61</v>
      </c>
      <c r="BK4" t="s">
        <v>62</v>
      </c>
      <c r="BL4" t="s">
        <v>63</v>
      </c>
      <c r="BM4" t="s">
        <v>64</v>
      </c>
      <c r="BN4" t="s">
        <v>65</v>
      </c>
      <c r="BO4" t="s">
        <v>66</v>
      </c>
      <c r="BP4" t="s">
        <v>67</v>
      </c>
      <c r="BQ4" t="s">
        <v>68</v>
      </c>
    </row>
    <row r="5" spans="1:69" hidden="1" x14ac:dyDescent="0.2">
      <c r="A5" t="s">
        <v>69</v>
      </c>
      <c r="B5" t="s">
        <v>70</v>
      </c>
      <c r="C5" t="s">
        <v>71</v>
      </c>
      <c r="D5" t="s">
        <v>72</v>
      </c>
      <c r="AF5">
        <v>3.5919700665287166</v>
      </c>
      <c r="AG5">
        <v>3.1084391879842315</v>
      </c>
      <c r="AH5">
        <v>3.9625430135896949</v>
      </c>
      <c r="AI5">
        <v>5.7698699078442246</v>
      </c>
      <c r="AJ5">
        <v>5.6148598280716158</v>
      </c>
      <c r="AK5">
        <v>3.8223351167833215</v>
      </c>
      <c r="AL5">
        <v>5.3003140576524288</v>
      </c>
      <c r="AM5">
        <v>6.2879753612689484</v>
      </c>
      <c r="AN5">
        <v>3.3758374912745666</v>
      </c>
      <c r="AO5">
        <v>3.2594864230355682</v>
      </c>
      <c r="AP5">
        <v>3.7042377527197345</v>
      </c>
      <c r="AQ5">
        <v>6.5929505018422816</v>
      </c>
      <c r="AR5">
        <v>2.190060660924928</v>
      </c>
      <c r="AS5">
        <v>1.0361008026952447</v>
      </c>
      <c r="AT5">
        <v>-2.8355024125308148</v>
      </c>
      <c r="AU5">
        <v>4.4346881334202237</v>
      </c>
      <c r="AV5">
        <v>3.0490462011099737</v>
      </c>
      <c r="AW5">
        <v>2.8099097089305332</v>
      </c>
      <c r="AX5">
        <v>5.067497229686694</v>
      </c>
      <c r="AY5">
        <v>3.4843461954361317</v>
      </c>
      <c r="AZ5">
        <v>5.1668929688739098</v>
      </c>
      <c r="BA5">
        <v>4.2624490017658871</v>
      </c>
      <c r="BB5">
        <v>1.7032804481383863</v>
      </c>
      <c r="BC5">
        <v>-1.2234065506842455</v>
      </c>
      <c r="BD5">
        <v>4.0056742140288151</v>
      </c>
      <c r="BE5">
        <v>0.18403270134612626</v>
      </c>
      <c r="BF5">
        <v>-1.9959484946561901</v>
      </c>
      <c r="BG5">
        <v>3.9588974101928187</v>
      </c>
      <c r="BH5">
        <v>6.8312869361569994</v>
      </c>
      <c r="BI5">
        <v>-1.0027996970366218</v>
      </c>
      <c r="BJ5">
        <v>-3.1781667983355533</v>
      </c>
      <c r="BK5">
        <v>3.4620285989059028</v>
      </c>
      <c r="BL5">
        <v>6.0178178908006714</v>
      </c>
      <c r="BM5">
        <v>-0.95147380526157121</v>
      </c>
      <c r="BN5">
        <v>-4.912624903900138</v>
      </c>
      <c r="BO5">
        <v>3.1572793936397261</v>
      </c>
      <c r="BP5">
        <v>6.7094611767606409</v>
      </c>
    </row>
    <row r="6" spans="1:69" hidden="1" x14ac:dyDescent="0.2">
      <c r="A6" t="s">
        <v>73</v>
      </c>
      <c r="B6" t="s">
        <v>74</v>
      </c>
      <c r="C6" t="s">
        <v>71</v>
      </c>
      <c r="D6" t="s">
        <v>72</v>
      </c>
      <c r="F6">
        <v>1.933946545733221</v>
      </c>
      <c r="G6">
        <v>0.5966071816124483</v>
      </c>
      <c r="H6">
        <v>3.1500527743381426</v>
      </c>
      <c r="I6">
        <v>3.7269776219936546</v>
      </c>
      <c r="J6">
        <v>2.9628261093652526</v>
      </c>
      <c r="K6">
        <v>3.4445181099496338</v>
      </c>
      <c r="L6">
        <v>1.779384150949582</v>
      </c>
      <c r="M6">
        <v>3.2270942578246533</v>
      </c>
      <c r="N6">
        <v>4.6606928407416603</v>
      </c>
      <c r="O6">
        <v>4.9375235930307042</v>
      </c>
      <c r="P6">
        <v>3.2793530715738299</v>
      </c>
      <c r="Q6">
        <v>9.8145760348433697</v>
      </c>
      <c r="R6">
        <v>12.224474898429307</v>
      </c>
      <c r="S6">
        <v>15.128346120431367</v>
      </c>
      <c r="T6">
        <v>11.884430878283872</v>
      </c>
      <c r="U6">
        <v>9.5306324685158543</v>
      </c>
      <c r="V6">
        <v>10.408101181964483</v>
      </c>
      <c r="W6">
        <v>10.54028973460175</v>
      </c>
      <c r="X6">
        <v>14.571237401167814</v>
      </c>
      <c r="Y6">
        <v>19.205294760332116</v>
      </c>
      <c r="Z6">
        <v>10.858488369129546</v>
      </c>
      <c r="AA6">
        <v>7.6974717781289783</v>
      </c>
      <c r="AB6">
        <v>11.556841716985716</v>
      </c>
      <c r="AC6">
        <v>12.73475577168854</v>
      </c>
      <c r="AD6">
        <v>16.14433126055718</v>
      </c>
      <c r="AE6">
        <v>13.916576908552543</v>
      </c>
      <c r="AF6">
        <v>12.694069824178754</v>
      </c>
      <c r="AG6">
        <v>20.152601266539236</v>
      </c>
      <c r="AH6">
        <v>14.839283913610288</v>
      </c>
      <c r="AI6">
        <v>11.99390390750807</v>
      </c>
      <c r="AJ6">
        <v>14.978936426007834</v>
      </c>
      <c r="AK6">
        <v>14.640655210188406</v>
      </c>
      <c r="AL6">
        <v>13.870502592970908</v>
      </c>
      <c r="AM6">
        <v>17.016414787254192</v>
      </c>
      <c r="AN6">
        <v>16.102711742496226</v>
      </c>
      <c r="AO6">
        <v>15.176180335890493</v>
      </c>
      <c r="AP6">
        <v>10.545048655145891</v>
      </c>
      <c r="AQ6">
        <v>9.109172939018066</v>
      </c>
      <c r="AR6">
        <v>8.0068132965615462</v>
      </c>
      <c r="AS6">
        <v>11.117305882486249</v>
      </c>
      <c r="AT6">
        <v>8.3128249995129835</v>
      </c>
      <c r="AU6">
        <v>8.9149284688432999</v>
      </c>
      <c r="AV6">
        <v>7.806740872975098</v>
      </c>
      <c r="AW6">
        <v>9.6003925600674194</v>
      </c>
      <c r="AX6">
        <v>7.6236893587826842</v>
      </c>
      <c r="AY6">
        <v>7.6522543052652878</v>
      </c>
      <c r="AZ6">
        <v>8.2457647661167357</v>
      </c>
      <c r="BA6">
        <v>10.961412407555954</v>
      </c>
      <c r="BB6">
        <v>8.2814323910625376</v>
      </c>
      <c r="BC6">
        <v>5.8830220348695264</v>
      </c>
      <c r="BD6">
        <v>9.7457099852377169</v>
      </c>
      <c r="BE6">
        <v>6.2038778762578062</v>
      </c>
      <c r="BF6">
        <v>5.5462669866443477</v>
      </c>
      <c r="BG6">
        <v>5.4035353829749937</v>
      </c>
      <c r="BH6">
        <v>5.3666939939807889</v>
      </c>
      <c r="BI6">
        <v>6.4009004536864396</v>
      </c>
      <c r="BJ6">
        <v>6.8638150145953247</v>
      </c>
      <c r="BK6">
        <v>4.3217586777007853</v>
      </c>
      <c r="BL6">
        <v>4.4443794649411572</v>
      </c>
      <c r="BM6">
        <v>5.2966092347383054</v>
      </c>
      <c r="BN6">
        <v>6.0881528117631589</v>
      </c>
      <c r="BO6">
        <v>9.3671322267081081</v>
      </c>
      <c r="BP6">
        <v>6.921322384723851</v>
      </c>
      <c r="BQ6">
        <v>6.0027680606757059</v>
      </c>
    </row>
    <row r="7" spans="1:69" hidden="1" x14ac:dyDescent="0.2">
      <c r="A7" t="s">
        <v>75</v>
      </c>
      <c r="B7" t="s">
        <v>76</v>
      </c>
      <c r="C7" t="s">
        <v>71</v>
      </c>
      <c r="D7" t="s">
        <v>72</v>
      </c>
      <c r="AT7">
        <v>-11.774536031921357</v>
      </c>
      <c r="AU7">
        <v>6.1255220291016315</v>
      </c>
      <c r="AV7">
        <v>11.655238221181037</v>
      </c>
      <c r="AW7">
        <v>11.271432057214852</v>
      </c>
      <c r="AX7">
        <v>10.912773550304806</v>
      </c>
      <c r="AY7">
        <v>7.1997512929238781</v>
      </c>
      <c r="AZ7">
        <v>22.52775620070291</v>
      </c>
      <c r="BA7">
        <v>2.0962887504212517</v>
      </c>
      <c r="BB7">
        <v>-2.1634044274614297</v>
      </c>
      <c r="BC7">
        <v>3.8146303154521064</v>
      </c>
      <c r="BD7">
        <v>16.593346740162701</v>
      </c>
      <c r="BE7">
        <v>7.3017564676043207</v>
      </c>
      <c r="BF7">
        <v>4.822785478769859</v>
      </c>
      <c r="BG7">
        <v>0.56694454253261028</v>
      </c>
      <c r="BH7">
        <v>2.4475630014740375</v>
      </c>
      <c r="BI7">
        <v>-2.1975264673346118</v>
      </c>
      <c r="BJ7">
        <v>2.4036561876574609</v>
      </c>
      <c r="BK7">
        <v>2.0713485778348684</v>
      </c>
      <c r="BL7">
        <v>6.5214798483253134</v>
      </c>
      <c r="BM7">
        <v>6.9629462552563979</v>
      </c>
      <c r="BN7">
        <v>2.8389962508104105</v>
      </c>
      <c r="BO7">
        <v>9.4062393393132169</v>
      </c>
      <c r="BP7">
        <v>2.9236621312166875</v>
      </c>
    </row>
    <row r="8" spans="1:69" hidden="1" x14ac:dyDescent="0.2">
      <c r="A8" t="s">
        <v>77</v>
      </c>
      <c r="B8" t="s">
        <v>78</v>
      </c>
      <c r="C8" t="s">
        <v>71</v>
      </c>
      <c r="D8" t="s">
        <v>72</v>
      </c>
      <c r="F8">
        <v>3.278445997779599</v>
      </c>
      <c r="G8">
        <v>2.485955506593676</v>
      </c>
      <c r="H8">
        <v>2.7814791463603115</v>
      </c>
      <c r="I8">
        <v>3.3810605811513383</v>
      </c>
      <c r="J8">
        <v>2.4050260884341839</v>
      </c>
      <c r="K8">
        <v>4.138752531223858</v>
      </c>
      <c r="L8">
        <v>1.2277518339989086</v>
      </c>
      <c r="M8">
        <v>1.6279493352935006</v>
      </c>
      <c r="N8">
        <v>4.2139585423851145</v>
      </c>
      <c r="O8">
        <v>3.3506517613349587</v>
      </c>
      <c r="P8">
        <v>4.1891964876864662</v>
      </c>
      <c r="Q8">
        <v>5.1458107687568315</v>
      </c>
      <c r="R8">
        <v>7.6185979351442512</v>
      </c>
      <c r="S8">
        <v>13.422590521284427</v>
      </c>
      <c r="T8">
        <v>8.5868075308183975</v>
      </c>
      <c r="U8">
        <v>11.319764328487707</v>
      </c>
      <c r="V8">
        <v>10.871987992400257</v>
      </c>
      <c r="W8">
        <v>6.616494662824735</v>
      </c>
      <c r="X8">
        <v>10.761788674571591</v>
      </c>
      <c r="Y8">
        <v>11.001281118452695</v>
      </c>
      <c r="Z8">
        <v>10.010020942035446</v>
      </c>
      <c r="AA8">
        <v>13.820559046017308</v>
      </c>
      <c r="AB8">
        <v>9.9279363990432472</v>
      </c>
      <c r="AC8">
        <v>11.315050036397771</v>
      </c>
      <c r="AD8">
        <v>5.2972135062317705</v>
      </c>
      <c r="AE8">
        <v>0.32606411260803014</v>
      </c>
      <c r="AF8">
        <v>2.356511639789673</v>
      </c>
      <c r="AG8">
        <v>3.6927705517238749</v>
      </c>
      <c r="AH8">
        <v>3.5001187584363009</v>
      </c>
      <c r="AI8">
        <v>4.822443156220011</v>
      </c>
      <c r="AJ8">
        <v>3.3128057535961588</v>
      </c>
      <c r="AK8">
        <v>0.48293822201271297</v>
      </c>
      <c r="AL8">
        <v>2.8067079896714802</v>
      </c>
      <c r="AM8">
        <v>24.794195325301118</v>
      </c>
      <c r="AN8">
        <v>7.3969206889985273</v>
      </c>
      <c r="AO8">
        <v>6.1864280993407235</v>
      </c>
      <c r="AP8">
        <v>2.9601387477169823</v>
      </c>
      <c r="AQ8">
        <v>5.3094830691090138</v>
      </c>
      <c r="AR8">
        <v>4.5010973090182418</v>
      </c>
      <c r="AS8">
        <v>4.8154302617350595</v>
      </c>
      <c r="AT8">
        <v>3.8617951928382723</v>
      </c>
      <c r="AU8">
        <v>2.6733973874015717</v>
      </c>
      <c r="AV8">
        <v>1.7188216320288419</v>
      </c>
      <c r="AW8">
        <v>8.7497675072360579</v>
      </c>
      <c r="AX8">
        <v>5.3031703890555733</v>
      </c>
      <c r="AY8">
        <v>3.9869084287000334</v>
      </c>
      <c r="AZ8">
        <v>5.4770289823888305</v>
      </c>
      <c r="BA8">
        <v>9.644458079056939</v>
      </c>
      <c r="BB8">
        <v>1.489404691920285</v>
      </c>
      <c r="BC8">
        <v>5.3690527748195365</v>
      </c>
      <c r="BD8">
        <v>7.8525853390125633</v>
      </c>
      <c r="BE8">
        <v>5.0815607078550471</v>
      </c>
      <c r="BF8">
        <v>1.5540180488942852</v>
      </c>
      <c r="BG8">
        <v>0.1897778972180646</v>
      </c>
      <c r="BH8">
        <v>1.9115594157122686</v>
      </c>
      <c r="BI8">
        <v>1.7363231292840027</v>
      </c>
      <c r="BJ8">
        <v>1.873519151799222</v>
      </c>
      <c r="BK8">
        <v>2.1503389329898184</v>
      </c>
      <c r="BL8">
        <v>1.3586285085498133</v>
      </c>
      <c r="BM8">
        <v>1.8807483567615648</v>
      </c>
      <c r="BN8">
        <v>4.6422037100591211</v>
      </c>
      <c r="BO8">
        <v>6.1809845858858523</v>
      </c>
      <c r="BP8">
        <v>3.4369632452817314</v>
      </c>
      <c r="BQ8">
        <v>3.0269711837555349</v>
      </c>
    </row>
    <row r="9" spans="1:69" hidden="1" x14ac:dyDescent="0.2">
      <c r="A9" t="s">
        <v>79</v>
      </c>
      <c r="B9" t="s">
        <v>80</v>
      </c>
      <c r="C9" t="s">
        <v>71</v>
      </c>
      <c r="D9" t="s">
        <v>72</v>
      </c>
      <c r="Z9">
        <v>-2.1003061669614027</v>
      </c>
      <c r="AA9">
        <v>0</v>
      </c>
      <c r="AB9">
        <v>1.2763558386637897E-2</v>
      </c>
      <c r="AC9">
        <v>1.1881098994876993E-3</v>
      </c>
      <c r="AD9">
        <v>19.035205740794396</v>
      </c>
      <c r="AE9">
        <v>-9.0130619199435813</v>
      </c>
      <c r="AF9">
        <v>9.8233113499663034</v>
      </c>
      <c r="AG9">
        <v>2.2137744494873601</v>
      </c>
      <c r="AH9">
        <v>16.279662685383741</v>
      </c>
      <c r="AI9">
        <v>14.007439827259248</v>
      </c>
      <c r="AJ9">
        <v>106.30998226847836</v>
      </c>
      <c r="AK9">
        <v>476.51575086326034</v>
      </c>
      <c r="AL9">
        <v>917.78346841176347</v>
      </c>
      <c r="AM9">
        <v>2175.9789550875926</v>
      </c>
      <c r="AN9">
        <v>1825.4951490073122</v>
      </c>
      <c r="AO9">
        <v>4800.531644157435</v>
      </c>
      <c r="AP9">
        <v>95.453022179112935</v>
      </c>
      <c r="AQ9">
        <v>39.359348325269309</v>
      </c>
      <c r="AR9">
        <v>557.5011130912153</v>
      </c>
      <c r="AS9">
        <v>418.01899153409909</v>
      </c>
      <c r="AT9">
        <v>106.35212550145093</v>
      </c>
      <c r="AU9">
        <v>196.98409939993138</v>
      </c>
      <c r="AV9">
        <v>93.926566906730812</v>
      </c>
      <c r="AW9">
        <v>33.443594790025514</v>
      </c>
      <c r="AX9">
        <v>42.37424926172838</v>
      </c>
      <c r="AY9">
        <v>17.115665144854162</v>
      </c>
      <c r="AZ9">
        <v>4.3084322120718213</v>
      </c>
      <c r="BA9">
        <v>19.365773555832575</v>
      </c>
      <c r="BB9">
        <v>-16.762140290159223</v>
      </c>
      <c r="BC9">
        <v>32.270469122441227</v>
      </c>
      <c r="BD9">
        <v>31.771460155898637</v>
      </c>
      <c r="BE9">
        <v>7.2557499094382507</v>
      </c>
      <c r="BF9">
        <v>2.8397241263776465</v>
      </c>
      <c r="BG9">
        <v>3.5608847720580457</v>
      </c>
      <c r="BH9">
        <v>-3.5183853459847825</v>
      </c>
      <c r="BI9">
        <v>21.774235586388443</v>
      </c>
      <c r="BJ9">
        <v>22.614514027111426</v>
      </c>
      <c r="BK9">
        <v>28.167093255489078</v>
      </c>
      <c r="BL9">
        <v>19.187003827178458</v>
      </c>
      <c r="BM9">
        <v>10.763105282479884</v>
      </c>
      <c r="BN9">
        <v>38.823721837491775</v>
      </c>
      <c r="BO9">
        <v>13.710594022623113</v>
      </c>
      <c r="BP9">
        <v>17.600139348450909</v>
      </c>
      <c r="BQ9">
        <v>25.239212746941988</v>
      </c>
    </row>
    <row r="10" spans="1:69" hidden="1" x14ac:dyDescent="0.2">
      <c r="A10" t="s">
        <v>81</v>
      </c>
      <c r="B10" t="s">
        <v>82</v>
      </c>
      <c r="C10" t="s">
        <v>71</v>
      </c>
      <c r="D10" t="s">
        <v>72</v>
      </c>
      <c r="Z10">
        <v>-2.1395719861819487</v>
      </c>
      <c r="AA10">
        <v>-1.7719099620506995E-2</v>
      </c>
      <c r="AB10">
        <v>-1.6755171636617661E-2</v>
      </c>
      <c r="AC10">
        <v>-2.8360257643740283E-2</v>
      </c>
      <c r="AD10">
        <v>0.35122234783797524</v>
      </c>
      <c r="AE10">
        <v>-2.4173004288159206</v>
      </c>
      <c r="AF10">
        <v>-3.0609292086580808E-4</v>
      </c>
      <c r="AG10">
        <v>-5.7857927212978666E-4</v>
      </c>
      <c r="AH10">
        <v>3.6791601611270153E-3</v>
      </c>
      <c r="AI10">
        <v>-0.4313688126059958</v>
      </c>
      <c r="AJ10">
        <v>35.514246953625729</v>
      </c>
      <c r="AK10">
        <v>232.9846588477335</v>
      </c>
      <c r="AL10">
        <v>125.65081424827898</v>
      </c>
      <c r="AM10">
        <v>35.842475208315193</v>
      </c>
      <c r="AN10">
        <v>33.51708160363259</v>
      </c>
      <c r="AO10">
        <v>16.934409603055329</v>
      </c>
      <c r="AP10">
        <v>12.755938002133121</v>
      </c>
      <c r="AQ10">
        <v>7.8551545917773922</v>
      </c>
      <c r="AR10">
        <v>2.7850770941661551</v>
      </c>
      <c r="AS10">
        <v>5.9195734652505791</v>
      </c>
      <c r="AT10">
        <v>3.765945311015912</v>
      </c>
      <c r="AU10">
        <v>3.9038814110042779</v>
      </c>
      <c r="AV10">
        <v>4.9374925522485142</v>
      </c>
      <c r="AW10">
        <v>3.0953665463897266</v>
      </c>
      <c r="AX10">
        <v>3.1437050537507929</v>
      </c>
      <c r="AY10">
        <v>2.6847683253135699</v>
      </c>
      <c r="AZ10">
        <v>5.1495677607287718</v>
      </c>
      <c r="BA10">
        <v>3.4986391250576077</v>
      </c>
      <c r="BB10">
        <v>2.5703400893890347</v>
      </c>
      <c r="BC10">
        <v>4.1274438912079887</v>
      </c>
      <c r="BD10">
        <v>1.6947918019878898</v>
      </c>
      <c r="BE10">
        <v>0.22673979064920502</v>
      </c>
      <c r="BF10">
        <v>0.35256378527770948</v>
      </c>
      <c r="BG10">
        <v>1.4434205388813552</v>
      </c>
      <c r="BH10">
        <v>0.77157629061159128</v>
      </c>
      <c r="BI10">
        <v>-0.86426522120169125</v>
      </c>
      <c r="BJ10">
        <v>2.7250691854046067</v>
      </c>
      <c r="BK10">
        <v>1.4532872250901505</v>
      </c>
      <c r="BL10">
        <v>1.0006328555612214</v>
      </c>
      <c r="BM10">
        <v>4.1044071919628777E-2</v>
      </c>
      <c r="BN10">
        <v>3.4443911004080405</v>
      </c>
      <c r="BO10">
        <v>9.8615830034463272</v>
      </c>
      <c r="BP10">
        <v>6.0660520944985024</v>
      </c>
      <c r="BQ10">
        <v>2.6888744557893176</v>
      </c>
    </row>
    <row r="11" spans="1:69" hidden="1" x14ac:dyDescent="0.2">
      <c r="A11" t="s">
        <v>83</v>
      </c>
      <c r="B11" t="s">
        <v>84</v>
      </c>
      <c r="C11" t="s">
        <v>71</v>
      </c>
      <c r="D11" t="s">
        <v>72</v>
      </c>
      <c r="P11">
        <v>7.8458709975826508</v>
      </c>
      <c r="Q11">
        <v>8.5180776736509785</v>
      </c>
      <c r="R11">
        <v>11.849433812494709</v>
      </c>
      <c r="S11">
        <v>15.945201409662218</v>
      </c>
      <c r="T11">
        <v>16.781795395398674</v>
      </c>
      <c r="U11">
        <v>16.489857207466258</v>
      </c>
      <c r="V11">
        <v>23.383092555526687</v>
      </c>
      <c r="W11">
        <v>20.631041415919952</v>
      </c>
      <c r="X11">
        <v>16.931689039913152</v>
      </c>
      <c r="Y11">
        <v>13.354813841318375</v>
      </c>
      <c r="Z11">
        <v>12.351173194483238</v>
      </c>
      <c r="AA11">
        <v>13.582349801247219</v>
      </c>
      <c r="AB11">
        <v>11.884235301230333</v>
      </c>
      <c r="AC11">
        <v>10.864734394079818</v>
      </c>
      <c r="AD11">
        <v>8.5954637592608805</v>
      </c>
      <c r="AE11">
        <v>10.878815202605566</v>
      </c>
      <c r="AF11">
        <v>5.9441988195603699</v>
      </c>
      <c r="AG11">
        <v>5.9361249975980996</v>
      </c>
      <c r="AH11">
        <v>6.8962071187261103</v>
      </c>
      <c r="AI11">
        <v>7.3262436963145632</v>
      </c>
      <c r="AJ11">
        <v>6.9351483542640722</v>
      </c>
      <c r="AK11">
        <v>6.710768960511416</v>
      </c>
      <c r="AL11">
        <v>4.5372321467585834</v>
      </c>
      <c r="AM11">
        <v>3.8798583215863118</v>
      </c>
      <c r="AN11">
        <v>4.9331210493655249</v>
      </c>
      <c r="AO11">
        <v>0.79717772932126252</v>
      </c>
      <c r="AP11">
        <v>2.2281603066612234</v>
      </c>
      <c r="AQ11">
        <v>1.4995538433127109</v>
      </c>
      <c r="AR11">
        <v>2.7319795253510222</v>
      </c>
      <c r="AS11">
        <v>28.741552897599149</v>
      </c>
      <c r="AT11">
        <v>3.0805351791655937</v>
      </c>
      <c r="AU11">
        <v>3.2395317698777717</v>
      </c>
      <c r="AV11">
        <v>3.1774842155647605</v>
      </c>
      <c r="AW11">
        <v>3.0424239980269476</v>
      </c>
      <c r="AX11">
        <v>3.3961021299505205</v>
      </c>
      <c r="AY11">
        <v>3.4571840867039612</v>
      </c>
      <c r="AZ11">
        <v>3.2112273413143555</v>
      </c>
      <c r="BA11">
        <v>2.2743383198432241</v>
      </c>
      <c r="BB11">
        <v>0.13213613240546351</v>
      </c>
      <c r="BC11">
        <v>0.37431375811011947</v>
      </c>
      <c r="BD11">
        <v>0.1967641520310508</v>
      </c>
      <c r="BE11">
        <v>0.17455690577948246</v>
      </c>
      <c r="BF11">
        <v>0.44849220019473535</v>
      </c>
      <c r="BG11">
        <v>-8.4019316557075285E-2</v>
      </c>
      <c r="BH11">
        <v>0.66058895913786841</v>
      </c>
      <c r="BI11">
        <v>0.34779538157579282</v>
      </c>
      <c r="BJ11">
        <v>1.1365093431963942</v>
      </c>
      <c r="BK11">
        <v>1.0124784800529767</v>
      </c>
      <c r="BL11">
        <v>1.3747535082918887</v>
      </c>
      <c r="BM11">
        <v>1.1137860741040129</v>
      </c>
      <c r="BN11">
        <v>2.5588606935970972</v>
      </c>
      <c r="BO11">
        <v>4.2366522645466347</v>
      </c>
      <c r="BP11">
        <v>6.2956008240182371</v>
      </c>
      <c r="BQ11">
        <v>3.1436554169799393</v>
      </c>
    </row>
    <row r="12" spans="1:69" hidden="1" x14ac:dyDescent="0.2">
      <c r="A12" t="s">
        <v>85</v>
      </c>
      <c r="B12" t="s">
        <v>86</v>
      </c>
      <c r="C12" t="s">
        <v>71</v>
      </c>
      <c r="D12" t="s">
        <v>72</v>
      </c>
      <c r="G12">
        <v>2.0153745254522164</v>
      </c>
      <c r="H12">
        <v>3.2961720404832278</v>
      </c>
      <c r="I12">
        <v>3.1939014859404296</v>
      </c>
      <c r="J12">
        <v>1.5013314568452074</v>
      </c>
      <c r="K12">
        <v>2.7511976210648612</v>
      </c>
      <c r="L12">
        <v>2.3896021949058976</v>
      </c>
      <c r="M12">
        <v>2.7548492214170253</v>
      </c>
      <c r="N12">
        <v>1.0648241461967274</v>
      </c>
      <c r="O12">
        <v>3.9103337375078766</v>
      </c>
      <c r="P12">
        <v>7.3570935560380875</v>
      </c>
      <c r="Q12">
        <v>3.1429085928018168</v>
      </c>
      <c r="R12">
        <v>15.246408125990321</v>
      </c>
      <c r="S12">
        <v>34.606550559865155</v>
      </c>
      <c r="T12">
        <v>5.5991441326086573</v>
      </c>
      <c r="U12">
        <v>8.6297821861245652</v>
      </c>
      <c r="V12">
        <v>10.370077176244209</v>
      </c>
      <c r="W12">
        <v>4.1604483225297741</v>
      </c>
      <c r="X12">
        <v>19.271855817196041</v>
      </c>
      <c r="Y12">
        <v>24.158081587862839</v>
      </c>
      <c r="Z12">
        <v>10.246645272535226</v>
      </c>
      <c r="AA12">
        <v>6.3652369778995848</v>
      </c>
      <c r="AB12">
        <v>6.8874969607529763</v>
      </c>
      <c r="AC12">
        <v>6.1804085686347321</v>
      </c>
      <c r="AD12">
        <v>4.2320818857449396</v>
      </c>
      <c r="AE12">
        <v>2.96400555028724</v>
      </c>
      <c r="AF12">
        <v>9.368089890826937</v>
      </c>
      <c r="AG12">
        <v>4.1773253000429307</v>
      </c>
      <c r="AH12">
        <v>7.9761248455561713</v>
      </c>
      <c r="AI12">
        <v>12.746316604425019</v>
      </c>
      <c r="AJ12">
        <v>7.4409998103372743</v>
      </c>
      <c r="AK12">
        <v>5.7167437560407919</v>
      </c>
      <c r="AL12">
        <v>3.8631629175192117</v>
      </c>
      <c r="AM12">
        <v>7.6024521966303809</v>
      </c>
      <c r="AN12">
        <v>7.7671977430612458</v>
      </c>
      <c r="AO12">
        <v>6.6575575309008457</v>
      </c>
      <c r="AP12">
        <v>2.7571222493304219</v>
      </c>
      <c r="AQ12">
        <v>-3.131088699360447</v>
      </c>
      <c r="AR12">
        <v>8.4433774602005798</v>
      </c>
      <c r="AS12">
        <v>11.459535793989389</v>
      </c>
      <c r="AT12">
        <v>1.8676998423894844</v>
      </c>
      <c r="AU12">
        <v>3.770839548260426</v>
      </c>
      <c r="AV12">
        <v>5.1118291762750232</v>
      </c>
      <c r="AW12">
        <v>10.937540523388691</v>
      </c>
      <c r="AX12">
        <v>14.585259098214152</v>
      </c>
      <c r="AY12">
        <v>9.0965063238064374</v>
      </c>
      <c r="AZ12">
        <v>8.0465470583868495</v>
      </c>
      <c r="BA12">
        <v>15.950125977090295</v>
      </c>
      <c r="BB12">
        <v>-2.7802230393940306</v>
      </c>
      <c r="BC12">
        <v>12.006950909995282</v>
      </c>
      <c r="BD12">
        <v>13.167219372619826</v>
      </c>
      <c r="BE12">
        <v>4.6797251255490551</v>
      </c>
      <c r="BF12">
        <v>0.89275299306383715</v>
      </c>
      <c r="BG12">
        <v>0.77258825665563791</v>
      </c>
      <c r="BH12">
        <v>-2.5268774033898467</v>
      </c>
      <c r="BI12">
        <v>0.92058953511314456</v>
      </c>
      <c r="BJ12">
        <v>4.8259464948184601</v>
      </c>
      <c r="BK12">
        <v>7.044671017019752</v>
      </c>
      <c r="BL12">
        <v>1.606823892203046</v>
      </c>
      <c r="BM12">
        <v>-0.28308500410021509</v>
      </c>
      <c r="BN12">
        <v>12.992410308457991</v>
      </c>
      <c r="BO12">
        <v>12.606550196748714</v>
      </c>
      <c r="BP12">
        <v>1.3413784815339795</v>
      </c>
      <c r="BQ12">
        <v>4.3453680192747086</v>
      </c>
    </row>
    <row r="13" spans="1:69" hidden="1" x14ac:dyDescent="0.2">
      <c r="A13" t="s">
        <v>87</v>
      </c>
      <c r="B13" t="s">
        <v>88</v>
      </c>
      <c r="C13" t="s">
        <v>71</v>
      </c>
      <c r="D13" t="s">
        <v>72</v>
      </c>
      <c r="P13">
        <v>7.0984356170811225E-9</v>
      </c>
      <c r="Q13">
        <v>3.5093279393549892E-9</v>
      </c>
      <c r="R13">
        <v>54.252826990467156</v>
      </c>
      <c r="S13">
        <v>138.26349256227206</v>
      </c>
      <c r="T13">
        <v>19.000916001316483</v>
      </c>
      <c r="U13">
        <v>11.774331354871933</v>
      </c>
      <c r="V13">
        <v>5.2557560911601371</v>
      </c>
      <c r="W13">
        <v>-3.6611114954961863</v>
      </c>
      <c r="X13">
        <v>7.0510205446408634</v>
      </c>
      <c r="Y13">
        <v>9.5159760346136864</v>
      </c>
      <c r="Z13">
        <v>7.0544839824380006</v>
      </c>
      <c r="AA13">
        <v>1.3128687287429273</v>
      </c>
      <c r="AB13">
        <v>-3.618017218637732</v>
      </c>
      <c r="AC13">
        <v>-6.0974671862648222</v>
      </c>
      <c r="AD13">
        <v>0.74053288991878219</v>
      </c>
      <c r="AE13">
        <v>-1.698485297317049</v>
      </c>
      <c r="AF13">
        <v>3.6855848025149953</v>
      </c>
      <c r="AG13">
        <v>2.3810457316100013</v>
      </c>
      <c r="AH13">
        <v>1.7512766094843073</v>
      </c>
      <c r="AI13">
        <v>3.3359004940013364</v>
      </c>
      <c r="AJ13">
        <v>0.81084872277685349</v>
      </c>
      <c r="AK13">
        <v>1.8068261232369309</v>
      </c>
      <c r="AL13">
        <v>1.2780363111586439</v>
      </c>
      <c r="AM13">
        <v>-0.26247492501447311</v>
      </c>
      <c r="AN13">
        <v>3.9074797579720837</v>
      </c>
      <c r="AO13">
        <v>5.7730438986660459</v>
      </c>
      <c r="AP13">
        <v>-0.95230071349425316</v>
      </c>
      <c r="AQ13">
        <v>-4.2544453145585805</v>
      </c>
      <c r="AR13">
        <v>8.4433774602005798</v>
      </c>
      <c r="AS13">
        <v>11.459535793989389</v>
      </c>
      <c r="AT13">
        <v>-2.3493076782079498</v>
      </c>
      <c r="AU13">
        <v>3.770839548260426</v>
      </c>
      <c r="AV13">
        <v>4.0724067973300748</v>
      </c>
      <c r="AW13">
        <v>8.5014220588529383</v>
      </c>
      <c r="AX13">
        <v>16.526306932784493</v>
      </c>
      <c r="AY13">
        <v>11.962149286584605</v>
      </c>
      <c r="AZ13">
        <v>12.533960671494569</v>
      </c>
      <c r="BA13">
        <v>18.533353084924585</v>
      </c>
      <c r="BB13">
        <v>-15.182979886533886</v>
      </c>
      <c r="BC13">
        <v>16.527886364070213</v>
      </c>
      <c r="BD13">
        <v>13.167219372619826</v>
      </c>
      <c r="BE13">
        <v>4.6797251255490551</v>
      </c>
      <c r="BF13">
        <v>-0.94932532487742094</v>
      </c>
      <c r="BG13">
        <v>-0.66804935569062707</v>
      </c>
      <c r="BH13">
        <v>-16.267006025706948</v>
      </c>
      <c r="BI13">
        <v>-5.5294786126457751</v>
      </c>
      <c r="BJ13">
        <v>4.9862131440171993</v>
      </c>
      <c r="BK13">
        <v>7.9367480331982563</v>
      </c>
      <c r="BL13">
        <v>-3.1944094044690274</v>
      </c>
      <c r="BM13">
        <v>-12.031305301211091</v>
      </c>
      <c r="BN13">
        <v>13.843770340967538</v>
      </c>
      <c r="BO13">
        <v>12.629893687412761</v>
      </c>
      <c r="BP13">
        <v>-1.3042001585599508</v>
      </c>
      <c r="BQ13">
        <v>0.67647411022701931</v>
      </c>
    </row>
    <row r="14" spans="1:69" hidden="1" x14ac:dyDescent="0.2">
      <c r="A14" t="s">
        <v>89</v>
      </c>
      <c r="B14" t="s">
        <v>90</v>
      </c>
      <c r="C14" t="s">
        <v>71</v>
      </c>
      <c r="D14" t="s">
        <v>72</v>
      </c>
      <c r="F14">
        <v>20.310697529050842</v>
      </c>
      <c r="G14">
        <v>28.871841649681102</v>
      </c>
      <c r="H14">
        <v>25.591154346679772</v>
      </c>
      <c r="I14">
        <v>28.774617319435549</v>
      </c>
      <c r="J14">
        <v>21.232934926485342</v>
      </c>
      <c r="K14">
        <v>25.603462425178009</v>
      </c>
      <c r="L14">
        <v>29.018262935581305</v>
      </c>
      <c r="M14">
        <v>10.275310559820454</v>
      </c>
      <c r="N14">
        <v>7.7958300339379178</v>
      </c>
      <c r="O14">
        <v>6.4678746392062862</v>
      </c>
      <c r="P14">
        <v>31.271063884229164</v>
      </c>
      <c r="Q14">
        <v>64.244785914936358</v>
      </c>
      <c r="R14">
        <v>65.535287370143976</v>
      </c>
      <c r="S14">
        <v>30.630441370412001</v>
      </c>
      <c r="T14">
        <v>197.69736454318729</v>
      </c>
      <c r="U14">
        <v>438.32277973981638</v>
      </c>
      <c r="V14">
        <v>159.42717769645043</v>
      </c>
      <c r="W14">
        <v>161.37217200415671</v>
      </c>
      <c r="X14">
        <v>147.37704403447287</v>
      </c>
      <c r="Y14">
        <v>95.79042461283521</v>
      </c>
      <c r="Z14">
        <v>105.27636638006351</v>
      </c>
      <c r="AA14">
        <v>194.53529966344314</v>
      </c>
      <c r="AB14">
        <v>380.15852852191932</v>
      </c>
      <c r="AC14">
        <v>611.19630389191252</v>
      </c>
      <c r="AD14">
        <v>607.44749783008479</v>
      </c>
      <c r="AE14">
        <v>77.292236686413332</v>
      </c>
      <c r="AF14">
        <v>127.53991805908643</v>
      </c>
      <c r="AG14">
        <v>381.24634440951996</v>
      </c>
      <c r="AH14">
        <v>3046.0911520111895</v>
      </c>
      <c r="AI14">
        <v>2078.3168180697849</v>
      </c>
      <c r="AJ14">
        <v>140.50237866101241</v>
      </c>
      <c r="AK14">
        <v>16.071993535694546</v>
      </c>
      <c r="AL14">
        <v>-3.5610955757657479</v>
      </c>
      <c r="AM14">
        <v>2.8493397150930235</v>
      </c>
      <c r="AN14">
        <v>3.1651233901651636</v>
      </c>
      <c r="AO14">
        <v>-5.2375496590414627E-2</v>
      </c>
      <c r="AP14">
        <v>-0.46391313116428989</v>
      </c>
      <c r="AQ14">
        <v>-1.7052796240008519</v>
      </c>
      <c r="AR14">
        <v>-1.8365583922066406</v>
      </c>
      <c r="AS14">
        <v>1.0372871007317457</v>
      </c>
      <c r="AT14">
        <v>-1.0957677183367878</v>
      </c>
      <c r="AU14">
        <v>30.555204053902969</v>
      </c>
      <c r="AV14">
        <v>10.495703021549602</v>
      </c>
      <c r="AW14">
        <v>18.363354249203283</v>
      </c>
      <c r="AX14">
        <v>10.317511198240553</v>
      </c>
      <c r="AY14">
        <v>13.741052485915233</v>
      </c>
      <c r="AZ14">
        <v>14.939925024583474</v>
      </c>
      <c r="BA14">
        <v>23.171164981312401</v>
      </c>
      <c r="BB14">
        <v>15.377649370892115</v>
      </c>
      <c r="BC14">
        <v>20.915124272046981</v>
      </c>
      <c r="BD14">
        <v>23.70347218395932</v>
      </c>
      <c r="BE14">
        <v>22.314880673304899</v>
      </c>
      <c r="BF14">
        <v>23.948798416274641</v>
      </c>
      <c r="BG14">
        <v>40.282971631550595</v>
      </c>
      <c r="BH14">
        <v>26.579991602470713</v>
      </c>
      <c r="BI14">
        <v>41.119379988227905</v>
      </c>
      <c r="BJ14">
        <v>26.00637928190794</v>
      </c>
      <c r="BK14">
        <v>42.033668957503068</v>
      </c>
      <c r="BL14">
        <v>49.195579059661185</v>
      </c>
      <c r="BM14">
        <v>40.08308780119927</v>
      </c>
      <c r="BN14">
        <v>53.80208776655536</v>
      </c>
      <c r="BO14">
        <v>69.876084245926847</v>
      </c>
      <c r="BP14">
        <v>135.36887631059167</v>
      </c>
      <c r="BQ14">
        <v>207.92186095339991</v>
      </c>
    </row>
    <row r="15" spans="1:69" hidden="1" x14ac:dyDescent="0.2">
      <c r="A15" t="s">
        <v>91</v>
      </c>
      <c r="B15" t="s">
        <v>92</v>
      </c>
      <c r="C15" t="s">
        <v>71</v>
      </c>
      <c r="D15" t="s">
        <v>72</v>
      </c>
      <c r="AJ15">
        <v>79.386104296154997</v>
      </c>
      <c r="AK15">
        <v>568.80729543934297</v>
      </c>
      <c r="AL15">
        <v>1391.1665431516788</v>
      </c>
      <c r="AM15">
        <v>4107.2967699474293</v>
      </c>
      <c r="AN15">
        <v>161.16391757915898</v>
      </c>
      <c r="AO15">
        <v>19.591770305213288</v>
      </c>
      <c r="AP15">
        <v>17.735994494583693</v>
      </c>
      <c r="AQ15">
        <v>10.698497756298295</v>
      </c>
      <c r="AR15">
        <v>5.3804080932536635E-2</v>
      </c>
      <c r="AS15">
        <v>-1.3736759982814704</v>
      </c>
      <c r="AT15">
        <v>4.0279694817782428</v>
      </c>
      <c r="AU15">
        <v>2.357399019111412</v>
      </c>
      <c r="AV15">
        <v>4.5985157283793967</v>
      </c>
      <c r="AW15">
        <v>6.2785941076714664</v>
      </c>
      <c r="AX15">
        <v>3.2087566663528122</v>
      </c>
      <c r="AY15">
        <v>4.6180125081882721</v>
      </c>
      <c r="AZ15">
        <v>4.2778755387817995</v>
      </c>
      <c r="BA15">
        <v>5.9895623606873443</v>
      </c>
      <c r="BB15">
        <v>2.4972530789156338</v>
      </c>
      <c r="BC15">
        <v>7.7687154806765193</v>
      </c>
      <c r="BD15">
        <v>4.281549998261184</v>
      </c>
      <c r="BE15">
        <v>5.345804418147253</v>
      </c>
      <c r="BF15">
        <v>3.3668246422446515</v>
      </c>
      <c r="BG15">
        <v>2.3091824299097397</v>
      </c>
      <c r="BH15">
        <v>1.2139099047108459</v>
      </c>
      <c r="BI15">
        <v>0.26857507650139212</v>
      </c>
      <c r="BJ15">
        <v>2.1506418984861284</v>
      </c>
      <c r="BK15">
        <v>2.7877095142576138</v>
      </c>
      <c r="BL15">
        <v>1.0656226392341921</v>
      </c>
      <c r="BM15">
        <v>1.8065927015993282</v>
      </c>
      <c r="BN15">
        <v>6.9005136578715707</v>
      </c>
      <c r="BO15">
        <v>7.985878528281745</v>
      </c>
      <c r="BP15">
        <v>2.673003548892126</v>
      </c>
      <c r="BQ15">
        <v>1.1612685355906649</v>
      </c>
    </row>
    <row r="16" spans="1:69" hidden="1" x14ac:dyDescent="0.2">
      <c r="A16" t="s">
        <v>93</v>
      </c>
      <c r="B16" t="s">
        <v>94</v>
      </c>
      <c r="C16" t="s">
        <v>71</v>
      </c>
      <c r="D16" t="s">
        <v>72</v>
      </c>
      <c r="AV16">
        <v>1.3650529371584668</v>
      </c>
      <c r="AW16">
        <v>-3.2590746222153086</v>
      </c>
      <c r="AX16">
        <v>-1.3655834326387435</v>
      </c>
      <c r="AY16">
        <v>2.8136752136752108</v>
      </c>
      <c r="AZ16">
        <v>3.1606122072653591</v>
      </c>
      <c r="BA16">
        <v>11.05933519726625</v>
      </c>
      <c r="BB16">
        <v>25.776397515527961</v>
      </c>
      <c r="BC16">
        <v>-15.36488955323037</v>
      </c>
      <c r="BD16">
        <v>-0.52356020942409032</v>
      </c>
      <c r="BE16">
        <v>17.368421052631589</v>
      </c>
      <c r="BF16">
        <v>2.2435897435897374</v>
      </c>
      <c r="BG16">
        <v>-0.96216029422652127</v>
      </c>
      <c r="BH16">
        <v>1.4697327650683008</v>
      </c>
      <c r="BI16">
        <v>1.4058217123660768</v>
      </c>
      <c r="BJ16">
        <v>-1.9408900576967483</v>
      </c>
      <c r="BK16">
        <v>1.6953610712577785</v>
      </c>
      <c r="BL16">
        <v>1.7482893000705815</v>
      </c>
      <c r="BM16">
        <v>6.7287807214228224</v>
      </c>
      <c r="BN16">
        <v>4.8425556863276995</v>
      </c>
      <c r="BO16">
        <v>14.152764857881124</v>
      </c>
    </row>
    <row r="17" spans="1:69" hidden="1" x14ac:dyDescent="0.2">
      <c r="A17" t="s">
        <v>95</v>
      </c>
      <c r="B17" t="s">
        <v>96</v>
      </c>
      <c r="C17" t="s">
        <v>71</v>
      </c>
      <c r="D17" t="s">
        <v>72</v>
      </c>
      <c r="W17">
        <v>8.8199622906938231</v>
      </c>
      <c r="X17">
        <v>15.177879635377778</v>
      </c>
      <c r="Y17">
        <v>11.734557281869471</v>
      </c>
      <c r="Z17">
        <v>8.6431784344159723</v>
      </c>
      <c r="AA17">
        <v>11.510001905063461</v>
      </c>
      <c r="AB17">
        <v>5.4138811615768105</v>
      </c>
      <c r="AC17">
        <v>4.2011572794953338</v>
      </c>
      <c r="AD17">
        <v>7.8508513266081223</v>
      </c>
      <c r="AE17">
        <v>8.3278663685493228</v>
      </c>
      <c r="AF17">
        <v>9.3251357980240073</v>
      </c>
      <c r="AG17">
        <v>12.726977225218491</v>
      </c>
      <c r="AH17">
        <v>5.120045197128789</v>
      </c>
      <c r="AI17">
        <v>2.097634238971807</v>
      </c>
      <c r="AJ17">
        <v>3.1069916939987223</v>
      </c>
      <c r="AK17">
        <v>2.9309840702322418</v>
      </c>
      <c r="AL17">
        <v>2.3158103338978293</v>
      </c>
      <c r="AM17">
        <v>3.5882534989379593</v>
      </c>
      <c r="AN17">
        <v>3.048123890478351</v>
      </c>
      <c r="AO17">
        <v>3.4106258760392905</v>
      </c>
      <c r="AP17">
        <v>2.5302244928350888</v>
      </c>
      <c r="AQ17">
        <v>2.680695670637661</v>
      </c>
      <c r="AR17">
        <v>2.0110789938734257</v>
      </c>
      <c r="AS17">
        <v>1.5355154133736733</v>
      </c>
      <c r="AT17">
        <v>2.0637779705071608</v>
      </c>
      <c r="AU17">
        <v>1.274451231530449</v>
      </c>
      <c r="AV17">
        <v>-0.47933004385986067</v>
      </c>
      <c r="AW17">
        <v>2.348647919919884</v>
      </c>
      <c r="AX17">
        <v>4.6784983313259829</v>
      </c>
      <c r="AY17">
        <v>1.1176722310191565</v>
      </c>
      <c r="AZ17">
        <v>4.3693205292687338</v>
      </c>
      <c r="BA17">
        <v>4.7383581938648973</v>
      </c>
      <c r="BB17">
        <v>1.1096360647320012</v>
      </c>
      <c r="BC17">
        <v>1.607416905644925</v>
      </c>
      <c r="BD17">
        <v>1.1345917589050174</v>
      </c>
      <c r="BE17">
        <v>2.5508205696406208</v>
      </c>
      <c r="BF17">
        <v>-2.2875718703908632</v>
      </c>
      <c r="BG17">
        <v>1.7770721364113911</v>
      </c>
      <c r="BH17">
        <v>2.8018015365833548</v>
      </c>
      <c r="BI17">
        <v>-0.47511751887147113</v>
      </c>
      <c r="BJ17">
        <v>0.31653179289151012</v>
      </c>
      <c r="BK17">
        <v>1.4442184208430859</v>
      </c>
      <c r="BL17">
        <v>0.71233504161230599</v>
      </c>
      <c r="BM17">
        <v>0.78165357030306382</v>
      </c>
      <c r="BN17">
        <v>4.9192745808234832</v>
      </c>
      <c r="BO17">
        <v>6.7802747078426648</v>
      </c>
      <c r="BP17">
        <v>4.911940849072522</v>
      </c>
      <c r="BQ17">
        <v>6.3189205810904099</v>
      </c>
    </row>
    <row r="18" spans="1:69" hidden="1" x14ac:dyDescent="0.2">
      <c r="A18" t="s">
        <v>97</v>
      </c>
      <c r="B18" t="s">
        <v>98</v>
      </c>
      <c r="C18" t="s">
        <v>71</v>
      </c>
      <c r="D18" t="s">
        <v>72</v>
      </c>
      <c r="F18">
        <v>3.2219679561588777</v>
      </c>
      <c r="G18">
        <v>-7.5603824801831365E-2</v>
      </c>
      <c r="H18">
        <v>1.7899309890239863</v>
      </c>
      <c r="I18">
        <v>3.2830542276814043</v>
      </c>
      <c r="J18">
        <v>2.9844825037884704</v>
      </c>
      <c r="K18">
        <v>2.6834800951374547</v>
      </c>
      <c r="L18">
        <v>4.8636807306463368</v>
      </c>
      <c r="M18">
        <v>2.2526447645101513</v>
      </c>
      <c r="N18">
        <v>4.7563015368469905</v>
      </c>
      <c r="O18">
        <v>5.1323386424105877</v>
      </c>
      <c r="P18">
        <v>5.1860837643818343</v>
      </c>
      <c r="Q18">
        <v>6.188613908110014</v>
      </c>
      <c r="R18">
        <v>8.9839737566421007</v>
      </c>
      <c r="S18">
        <v>16.377562316701784</v>
      </c>
      <c r="T18">
        <v>16.489787708607295</v>
      </c>
      <c r="U18">
        <v>14.019868782226368</v>
      </c>
      <c r="V18">
        <v>11.41866058195906</v>
      </c>
      <c r="W18">
        <v>8.2361836309667211</v>
      </c>
      <c r="X18">
        <v>8.6344312375283323</v>
      </c>
      <c r="Y18">
        <v>10.016569678401808</v>
      </c>
      <c r="Z18">
        <v>9.5247896460464858</v>
      </c>
      <c r="AA18">
        <v>11.709232924950811</v>
      </c>
      <c r="AB18">
        <v>10.15755813860612</v>
      </c>
      <c r="AC18">
        <v>7.8630044185482149</v>
      </c>
      <c r="AD18">
        <v>4.6807064369032361</v>
      </c>
      <c r="AE18">
        <v>6.547510997662954</v>
      </c>
      <c r="AF18">
        <v>7.0317383233761177</v>
      </c>
      <c r="AG18">
        <v>7.1742599600063954</v>
      </c>
      <c r="AH18">
        <v>9.2319092237616474</v>
      </c>
      <c r="AI18">
        <v>6.0945898359240829</v>
      </c>
      <c r="AJ18">
        <v>3.0201755797388756</v>
      </c>
      <c r="AK18">
        <v>1.479025746296216</v>
      </c>
      <c r="AL18">
        <v>0.86737761943480507</v>
      </c>
      <c r="AM18">
        <v>1.0188023382426081</v>
      </c>
      <c r="AN18">
        <v>2.2891431645820575</v>
      </c>
      <c r="AO18">
        <v>2.711442226721843</v>
      </c>
      <c r="AP18">
        <v>1.272790807282064</v>
      </c>
      <c r="AQ18">
        <v>1.1356419046428385</v>
      </c>
      <c r="AR18">
        <v>0.4753659764459286</v>
      </c>
      <c r="AS18">
        <v>2.5507652827131011</v>
      </c>
      <c r="AT18">
        <v>4.6307405768539525</v>
      </c>
      <c r="AU18">
        <v>2.8403544421465199</v>
      </c>
      <c r="AV18">
        <v>2.9855450894119571</v>
      </c>
      <c r="AW18">
        <v>3.2322993619530678</v>
      </c>
      <c r="AX18">
        <v>3.8254806679575353</v>
      </c>
      <c r="AY18">
        <v>5.1153397779976899</v>
      </c>
      <c r="AZ18">
        <v>4.9860517323113243</v>
      </c>
      <c r="BA18">
        <v>4.5697829069347051</v>
      </c>
      <c r="BB18">
        <v>4.9491790801278199</v>
      </c>
      <c r="BC18">
        <v>1.1537724932859135</v>
      </c>
      <c r="BD18">
        <v>6.2019766806504748</v>
      </c>
      <c r="BE18">
        <v>1.8056989221341979</v>
      </c>
      <c r="BF18">
        <v>-0.16360055142490637</v>
      </c>
      <c r="BG18">
        <v>1.4053960162247563</v>
      </c>
      <c r="BH18">
        <v>-0.62385847051058363</v>
      </c>
      <c r="BI18">
        <v>-0.6631576196259914</v>
      </c>
      <c r="BJ18">
        <v>3.653184418134515</v>
      </c>
      <c r="BK18">
        <v>1.8690147889945763</v>
      </c>
      <c r="BL18">
        <v>3.4682026101292394</v>
      </c>
      <c r="BM18">
        <v>1.8855011901064813</v>
      </c>
      <c r="BN18">
        <v>3.0799498600023014</v>
      </c>
      <c r="BO18">
        <v>7.1755336151023528</v>
      </c>
      <c r="BP18">
        <v>6.5119989495045587</v>
      </c>
      <c r="BQ18">
        <v>2.6265456903830966</v>
      </c>
    </row>
    <row r="19" spans="1:69" hidden="1" x14ac:dyDescent="0.2">
      <c r="A19" t="s">
        <v>99</v>
      </c>
      <c r="B19" t="s">
        <v>100</v>
      </c>
      <c r="C19" t="s">
        <v>71</v>
      </c>
      <c r="D19" t="s">
        <v>72</v>
      </c>
      <c r="F19">
        <v>5.0871537168205521</v>
      </c>
      <c r="G19">
        <v>3.3402032143860794</v>
      </c>
      <c r="H19">
        <v>3.6782661205192539</v>
      </c>
      <c r="I19">
        <v>3.183788219104656</v>
      </c>
      <c r="J19">
        <v>5.3214154487136796</v>
      </c>
      <c r="K19">
        <v>3.1223660811552776</v>
      </c>
      <c r="L19">
        <v>3.2477625680088948</v>
      </c>
      <c r="M19">
        <v>2.8380319513882029</v>
      </c>
      <c r="N19">
        <v>2.7335728768377976</v>
      </c>
      <c r="O19">
        <v>4.7420975375178926</v>
      </c>
      <c r="P19">
        <v>6.2043731872715995</v>
      </c>
      <c r="Q19">
        <v>7.5999323291849237</v>
      </c>
      <c r="R19">
        <v>8.0455433272897778</v>
      </c>
      <c r="S19">
        <v>9.5021388220163772</v>
      </c>
      <c r="T19">
        <v>6.4577760381619953</v>
      </c>
      <c r="U19">
        <v>5.6249179259895357</v>
      </c>
      <c r="V19">
        <v>5.1987131060500076</v>
      </c>
      <c r="W19">
        <v>5.9930158518802585</v>
      </c>
      <c r="X19">
        <v>4.1143707499889786</v>
      </c>
      <c r="Y19">
        <v>5.5806284791783014</v>
      </c>
      <c r="Z19">
        <v>6.716669046220062</v>
      </c>
      <c r="AA19">
        <v>5.3552895297562344</v>
      </c>
      <c r="AB19">
        <v>3.4727836865784383</v>
      </c>
      <c r="AC19">
        <v>4.9497732336231337</v>
      </c>
      <c r="AD19">
        <v>2.9629953296693543</v>
      </c>
      <c r="AE19">
        <v>2.9509976333487771</v>
      </c>
      <c r="AF19">
        <v>2.4369480118083828</v>
      </c>
      <c r="AG19">
        <v>1.5268552683681804</v>
      </c>
      <c r="AH19">
        <v>2.9647607199242145</v>
      </c>
      <c r="AI19">
        <v>2.9996805145242433</v>
      </c>
      <c r="AJ19">
        <v>3.6418713043186131</v>
      </c>
      <c r="AK19">
        <v>3.4790935059735233</v>
      </c>
      <c r="AL19">
        <v>2.7570841552411878</v>
      </c>
      <c r="AM19">
        <v>2.5249433861774122</v>
      </c>
      <c r="AN19">
        <v>1.8139179740565936</v>
      </c>
      <c r="AO19">
        <v>0.9604359227582222</v>
      </c>
      <c r="AP19">
        <v>1.2625439028201271</v>
      </c>
      <c r="AQ19">
        <v>0.48206210453875542</v>
      </c>
      <c r="AR19">
        <v>0.21932275016244773</v>
      </c>
      <c r="AS19">
        <v>1.3673137665151387</v>
      </c>
      <c r="AT19">
        <v>1.9372837862254642</v>
      </c>
      <c r="AU19">
        <v>1.1042152898280904</v>
      </c>
      <c r="AV19">
        <v>1.2670026931752716</v>
      </c>
      <c r="AW19">
        <v>1.7279619635902606</v>
      </c>
      <c r="AX19">
        <v>2.531967846572968</v>
      </c>
      <c r="AY19">
        <v>2.0446199795761686</v>
      </c>
      <c r="AZ19">
        <v>2.2592708875602341</v>
      </c>
      <c r="BA19">
        <v>1.9337907132068324</v>
      </c>
      <c r="BB19">
        <v>1.7393928015413849</v>
      </c>
      <c r="BC19">
        <v>0.89133869490964912</v>
      </c>
      <c r="BD19">
        <v>1.8199374380416771</v>
      </c>
      <c r="BE19">
        <v>2.0916647649042375</v>
      </c>
      <c r="BF19">
        <v>1.708722881911612</v>
      </c>
      <c r="BG19">
        <v>2.0067441320893948</v>
      </c>
      <c r="BH19">
        <v>2.2926347015487067</v>
      </c>
      <c r="BI19">
        <v>1.814750823333128</v>
      </c>
      <c r="BJ19">
        <v>0.9753179067323714</v>
      </c>
      <c r="BK19">
        <v>1.8104799613359432</v>
      </c>
      <c r="BL19">
        <v>1.4736850282358631</v>
      </c>
      <c r="BM19">
        <v>2.5931325359937603</v>
      </c>
      <c r="BN19">
        <v>1.926129350980105</v>
      </c>
      <c r="BO19">
        <v>4.7547780760514229</v>
      </c>
      <c r="BP19">
        <v>6.6476535913031682</v>
      </c>
      <c r="BQ19">
        <v>3.0505940977773491</v>
      </c>
    </row>
    <row r="20" spans="1:69" hidden="1" x14ac:dyDescent="0.2">
      <c r="A20" t="s">
        <v>101</v>
      </c>
      <c r="B20" t="s">
        <v>102</v>
      </c>
      <c r="C20" t="s">
        <v>71</v>
      </c>
      <c r="D20" t="s">
        <v>72</v>
      </c>
      <c r="AJ20">
        <v>83.549512668336433</v>
      </c>
      <c r="AK20">
        <v>1065.3292301853148</v>
      </c>
      <c r="AL20">
        <v>747.12452012683013</v>
      </c>
      <c r="AM20">
        <v>1386.0673976798653</v>
      </c>
      <c r="AN20">
        <v>545.65635226620464</v>
      </c>
      <c r="AO20">
        <v>26.419162938231594</v>
      </c>
      <c r="AP20">
        <v>9.2425044409958161</v>
      </c>
      <c r="AQ20">
        <v>-0.9651333671906599</v>
      </c>
      <c r="AR20">
        <v>2.1621416752937108</v>
      </c>
      <c r="AS20">
        <v>12.492773812845243</v>
      </c>
      <c r="AT20">
        <v>2.5150103887174851</v>
      </c>
      <c r="AU20">
        <v>4.2143861637804321</v>
      </c>
      <c r="AV20">
        <v>6.9614651158667868</v>
      </c>
      <c r="AW20">
        <v>9.2519655783619044</v>
      </c>
      <c r="AX20">
        <v>14.723496553835645</v>
      </c>
      <c r="AY20">
        <v>11.32918854241079</v>
      </c>
      <c r="AZ20">
        <v>20.582482818269867</v>
      </c>
      <c r="BA20">
        <v>27.971036308702281</v>
      </c>
      <c r="BB20">
        <v>-18.899228376853827</v>
      </c>
      <c r="BC20">
        <v>13.827665595181116</v>
      </c>
      <c r="BD20">
        <v>24.606950030232923</v>
      </c>
      <c r="BE20">
        <v>2.8449825771687358</v>
      </c>
      <c r="BF20">
        <v>0.41316405727852157</v>
      </c>
      <c r="BG20">
        <v>-1.3302044231251671</v>
      </c>
      <c r="BH20">
        <v>-8.8096155262961275</v>
      </c>
      <c r="BI20">
        <v>14.62833900144274</v>
      </c>
      <c r="BJ20">
        <v>16.226204566647027</v>
      </c>
      <c r="BK20">
        <v>12.184432964144264</v>
      </c>
      <c r="BL20">
        <v>-0.22165292378967649</v>
      </c>
      <c r="BM20">
        <v>-7.4936333244732367</v>
      </c>
      <c r="BN20">
        <v>21.588836582072602</v>
      </c>
      <c r="BO20">
        <v>37.270721068943544</v>
      </c>
      <c r="BP20">
        <v>-9.3226148925411536</v>
      </c>
      <c r="BQ20">
        <v>-1.4081721707043897</v>
      </c>
    </row>
    <row r="21" spans="1:69" hidden="1" x14ac:dyDescent="0.2">
      <c r="A21" t="s">
        <v>103</v>
      </c>
      <c r="B21" t="s">
        <v>104</v>
      </c>
      <c r="C21" t="s">
        <v>71</v>
      </c>
      <c r="D21" t="s">
        <v>72</v>
      </c>
      <c r="F21">
        <v>20.077436343142423</v>
      </c>
      <c r="G21">
        <v>-3.5674164530706918</v>
      </c>
      <c r="H21">
        <v>4.6871493002697946</v>
      </c>
      <c r="I21">
        <v>5.4172175752594995</v>
      </c>
      <c r="J21">
        <v>-1.0293637783963163</v>
      </c>
      <c r="K21">
        <v>3.1520339617469517</v>
      </c>
      <c r="L21">
        <v>-5.3179861719277426</v>
      </c>
      <c r="M21">
        <v>3.056813150022748</v>
      </c>
      <c r="N21">
        <v>5.3618798349369285</v>
      </c>
      <c r="O21">
        <v>5.1845118066665918</v>
      </c>
      <c r="P21">
        <v>1.3802189463989691</v>
      </c>
      <c r="Q21">
        <v>4.2908099712703773</v>
      </c>
      <c r="R21">
        <v>5.5104424705010331</v>
      </c>
      <c r="S21">
        <v>12.4551776403177</v>
      </c>
      <c r="T21">
        <v>21.086905788301593</v>
      </c>
      <c r="U21">
        <v>8.0749482461168043</v>
      </c>
      <c r="V21">
        <v>14.304125606010331</v>
      </c>
      <c r="W21">
        <v>12.507705222457716</v>
      </c>
      <c r="X21">
        <v>26.130707611628139</v>
      </c>
      <c r="Y21">
        <v>16.384024362086663</v>
      </c>
      <c r="Z21">
        <v>-6.0633150865133985</v>
      </c>
      <c r="AA21">
        <v>5.6720215479553246</v>
      </c>
      <c r="AB21">
        <v>6.4285488030002966</v>
      </c>
      <c r="AC21">
        <v>17.216194989036708</v>
      </c>
      <c r="AD21">
        <v>5.0688389801529325</v>
      </c>
      <c r="AE21">
        <v>-4.2574142381577076</v>
      </c>
      <c r="AF21">
        <v>-3.4177950785882416</v>
      </c>
      <c r="AG21">
        <v>3.4912227012660111</v>
      </c>
      <c r="AH21">
        <v>14.757184816970437</v>
      </c>
      <c r="AI21">
        <v>5.9855615452015627</v>
      </c>
      <c r="AJ21">
        <v>4.0931407927547525</v>
      </c>
      <c r="AK21">
        <v>5.4017606995468128</v>
      </c>
      <c r="AL21">
        <v>7.7426456757990536</v>
      </c>
      <c r="AM21">
        <v>6.6384454564795305</v>
      </c>
      <c r="AN21">
        <v>16.102711742496226</v>
      </c>
      <c r="AO21">
        <v>14.453111406049885</v>
      </c>
      <c r="AP21">
        <v>32.39778923077472</v>
      </c>
      <c r="AQ21">
        <v>11.450556004805378</v>
      </c>
      <c r="AR21">
        <v>14.954140260885268</v>
      </c>
      <c r="AS21">
        <v>38.944893203090942</v>
      </c>
      <c r="AT21">
        <v>13.716406792013316</v>
      </c>
      <c r="AU21">
        <v>1.0278585737388823</v>
      </c>
      <c r="AV21">
        <v>11.945748644859137</v>
      </c>
      <c r="AW21">
        <v>13.146159331435413</v>
      </c>
      <c r="AX21">
        <v>18.841589476923275</v>
      </c>
      <c r="AY21">
        <v>2.8456663337667294</v>
      </c>
      <c r="AZ21">
        <v>8.2733756288633629</v>
      </c>
      <c r="BA21">
        <v>24.215793743440088</v>
      </c>
      <c r="BB21">
        <v>10.458796525419615</v>
      </c>
      <c r="BC21">
        <v>8.56155516425477</v>
      </c>
      <c r="BD21">
        <v>8.3642501982880759</v>
      </c>
      <c r="BE21">
        <v>14.294071682424985</v>
      </c>
      <c r="BF21">
        <v>7.9531039994456023</v>
      </c>
      <c r="BG21">
        <v>5.3056560277439075</v>
      </c>
      <c r="BH21">
        <v>21.318747023014907</v>
      </c>
      <c r="BI21">
        <v>0.97317644189674013</v>
      </c>
      <c r="BJ21">
        <v>11.449182606603372</v>
      </c>
      <c r="BK21">
        <v>-2.8508593019813731</v>
      </c>
      <c r="BL21">
        <v>0.85186743405165544</v>
      </c>
      <c r="BM21">
        <v>5.9665023314011023</v>
      </c>
      <c r="BN21">
        <v>8.5167197149470724</v>
      </c>
      <c r="BO21">
        <v>18.331722314869296</v>
      </c>
      <c r="BP21">
        <v>10.874934060970133</v>
      </c>
      <c r="BQ21">
        <v>9.860274549782531</v>
      </c>
    </row>
    <row r="22" spans="1:69" hidden="1" x14ac:dyDescent="0.2">
      <c r="A22" t="s">
        <v>105</v>
      </c>
      <c r="B22" t="s">
        <v>106</v>
      </c>
      <c r="C22" t="s">
        <v>71</v>
      </c>
      <c r="D22" t="s">
        <v>72</v>
      </c>
      <c r="F22">
        <v>1.3154686942770724</v>
      </c>
      <c r="G22">
        <v>1.6676919464712512</v>
      </c>
      <c r="H22">
        <v>3.0257967002842605</v>
      </c>
      <c r="I22">
        <v>4.6424265584862354</v>
      </c>
      <c r="J22">
        <v>5.1007129369628643</v>
      </c>
      <c r="K22">
        <v>4.0860149330735851</v>
      </c>
      <c r="L22">
        <v>3.1934309371266068</v>
      </c>
      <c r="M22">
        <v>2.6202892766022927</v>
      </c>
      <c r="N22">
        <v>4.0238263111542807</v>
      </c>
      <c r="O22">
        <v>4.5461957389723011</v>
      </c>
      <c r="P22">
        <v>5.3582177262644137</v>
      </c>
      <c r="Q22">
        <v>6.3178192869535224</v>
      </c>
      <c r="R22">
        <v>6.8069865888876819</v>
      </c>
      <c r="S22">
        <v>12.16833968722166</v>
      </c>
      <c r="T22">
        <v>12.889723171968242</v>
      </c>
      <c r="U22">
        <v>7.5752629821468815</v>
      </c>
      <c r="V22">
        <v>7.4780602694185916</v>
      </c>
      <c r="W22">
        <v>4.4232500062016555</v>
      </c>
      <c r="X22">
        <v>4.5052412828870132</v>
      </c>
      <c r="Y22">
        <v>4.126596953078618</v>
      </c>
      <c r="Z22">
        <v>5.1391969839844904</v>
      </c>
      <c r="AA22">
        <v>7.5704162533650816</v>
      </c>
      <c r="AB22">
        <v>5.6128500429938839</v>
      </c>
      <c r="AC22">
        <v>5.4387176068222232</v>
      </c>
      <c r="AD22">
        <v>4.6277420658497732</v>
      </c>
      <c r="AE22">
        <v>2.7967809316963894</v>
      </c>
      <c r="AF22">
        <v>1.6841107565879412</v>
      </c>
      <c r="AG22">
        <v>2.1689900511946121</v>
      </c>
      <c r="AH22">
        <v>4.79745736975174</v>
      </c>
      <c r="AI22">
        <v>2.8124038111795358</v>
      </c>
      <c r="AJ22">
        <v>2.8766243428498512</v>
      </c>
      <c r="AK22">
        <v>3.42452475554731</v>
      </c>
      <c r="AL22">
        <v>3.9932316782730766</v>
      </c>
      <c r="AM22">
        <v>2.0943048455264233</v>
      </c>
      <c r="AN22">
        <v>1.2207696105938481</v>
      </c>
      <c r="AO22">
        <v>0.47663837036009227</v>
      </c>
      <c r="AP22">
        <v>0.75761079446429846</v>
      </c>
      <c r="AQ22">
        <v>1.805619405380952</v>
      </c>
      <c r="AR22">
        <v>0.59892253390296446</v>
      </c>
      <c r="AS22">
        <v>2.0145920867531686</v>
      </c>
      <c r="AT22">
        <v>1.9828181177726947</v>
      </c>
      <c r="AU22">
        <v>1.6399980826271161</v>
      </c>
      <c r="AV22">
        <v>1.8501162698871809</v>
      </c>
      <c r="AW22">
        <v>1.9149886102422897</v>
      </c>
      <c r="AX22">
        <v>2.0830733394964227</v>
      </c>
      <c r="AY22">
        <v>2.2647161893326171</v>
      </c>
      <c r="AZ22">
        <v>1.9316783595743487</v>
      </c>
      <c r="BA22">
        <v>1.9088693735362909</v>
      </c>
      <c r="BB22">
        <v>0.78182117428305276</v>
      </c>
      <c r="BC22">
        <v>1.7031044452060513</v>
      </c>
      <c r="BD22">
        <v>2.2925217232824195</v>
      </c>
      <c r="BE22">
        <v>2.2057364240318833</v>
      </c>
      <c r="BF22">
        <v>1.412489654717362</v>
      </c>
      <c r="BG22">
        <v>0.84039574006359885</v>
      </c>
      <c r="BH22">
        <v>1.1218385191681648</v>
      </c>
      <c r="BI22">
        <v>1.8952891356944406</v>
      </c>
      <c r="BJ22">
        <v>1.983163436048585</v>
      </c>
      <c r="BK22">
        <v>1.7172823662303927</v>
      </c>
      <c r="BL22">
        <v>1.8542407656893403</v>
      </c>
      <c r="BM22">
        <v>1.5961166757640086</v>
      </c>
      <c r="BN22">
        <v>2.7426271275739396</v>
      </c>
      <c r="BO22">
        <v>6.8439758171518434</v>
      </c>
      <c r="BP22">
        <v>4.5081215034370956</v>
      </c>
      <c r="BQ22">
        <v>1.9437054861249976</v>
      </c>
    </row>
    <row r="23" spans="1:69" hidden="1" x14ac:dyDescent="0.2">
      <c r="A23" t="s">
        <v>107</v>
      </c>
      <c r="B23" t="s">
        <v>108</v>
      </c>
      <c r="C23" t="s">
        <v>71</v>
      </c>
      <c r="D23" t="s">
        <v>72</v>
      </c>
      <c r="F23">
        <v>1.041435673965708</v>
      </c>
      <c r="G23">
        <v>3.7805611339426974</v>
      </c>
      <c r="H23">
        <v>2.5490411369424493</v>
      </c>
      <c r="I23">
        <v>-0.36367199195480282</v>
      </c>
      <c r="J23">
        <v>2.0576204636815874</v>
      </c>
      <c r="K23">
        <v>1.1366655990102856</v>
      </c>
      <c r="L23">
        <v>0.14107243009495107</v>
      </c>
      <c r="M23">
        <v>3.2735249531258717</v>
      </c>
      <c r="N23">
        <v>3.4541955241057991</v>
      </c>
      <c r="O23">
        <v>5.0470469375577522</v>
      </c>
      <c r="P23">
        <v>1.5732837726299493</v>
      </c>
      <c r="Q23">
        <v>5.3172260772773114</v>
      </c>
      <c r="R23">
        <v>4.8227399413639347</v>
      </c>
      <c r="S23">
        <v>14.920709907590421</v>
      </c>
      <c r="T23">
        <v>14.246935761269583</v>
      </c>
      <c r="U23">
        <v>14.035430018381831</v>
      </c>
      <c r="V23">
        <v>5.1768868103377628</v>
      </c>
      <c r="W23">
        <v>12.334458956037437</v>
      </c>
      <c r="X23">
        <v>13.004685824598766</v>
      </c>
      <c r="Y23">
        <v>10.187819857319582</v>
      </c>
      <c r="Z23">
        <v>7.4689482651344008</v>
      </c>
      <c r="AA23">
        <v>16.14828401528095</v>
      </c>
      <c r="AB23">
        <v>4.7462097429564807</v>
      </c>
      <c r="AC23">
        <v>1.9535809575095726</v>
      </c>
      <c r="AD23">
        <v>-4.8769817363666021</v>
      </c>
      <c r="AE23">
        <v>-3.6041725823891966</v>
      </c>
      <c r="AF23">
        <v>3.0284598525977913</v>
      </c>
      <c r="AG23">
        <v>-0.61050690748118086</v>
      </c>
      <c r="AH23">
        <v>2.2249344566343012</v>
      </c>
      <c r="AI23">
        <v>2.1765969255450557</v>
      </c>
      <c r="AJ23">
        <v>0.75662015031146268</v>
      </c>
      <c r="AK23">
        <v>3.0251344649123979</v>
      </c>
      <c r="AL23">
        <v>2.3783218241831889</v>
      </c>
      <c r="AM23">
        <v>35.030112783675435</v>
      </c>
      <c r="AN23">
        <v>15.099451908022715</v>
      </c>
      <c r="AO23">
        <v>6.9072936648719292</v>
      </c>
      <c r="AP23">
        <v>3.6675091741243762</v>
      </c>
      <c r="AQ23">
        <v>5.2316047475610645</v>
      </c>
      <c r="AR23">
        <v>48.342543390814626</v>
      </c>
      <c r="AS23">
        <v>4.3410556635676016</v>
      </c>
      <c r="AT23">
        <v>1.9702855816725418</v>
      </c>
      <c r="AU23">
        <v>3.5542132545605369</v>
      </c>
      <c r="AV23">
        <v>3.0617041244122731</v>
      </c>
      <c r="AW23">
        <v>0.76971100380987423</v>
      </c>
      <c r="AX23">
        <v>4.2936641352614657</v>
      </c>
      <c r="AY23">
        <v>2.0943170727907585</v>
      </c>
      <c r="AZ23">
        <v>0.39015323819573666</v>
      </c>
      <c r="BA23">
        <v>6.4341522057803218</v>
      </c>
      <c r="BB23">
        <v>2.539692060954863</v>
      </c>
      <c r="BC23">
        <v>0.88088567047790889</v>
      </c>
      <c r="BD23">
        <v>3.7330830404265214</v>
      </c>
      <c r="BE23">
        <v>7.6989080769142504</v>
      </c>
      <c r="BF23">
        <v>1.3972983945518251</v>
      </c>
      <c r="BG23">
        <v>-0.24778265388228249</v>
      </c>
      <c r="BH23">
        <v>0.85150426118021016</v>
      </c>
      <c r="BI23">
        <v>0.68359111127465155</v>
      </c>
      <c r="BJ23">
        <v>-0.36789772511916397</v>
      </c>
      <c r="BK23">
        <v>0.6704476142176361</v>
      </c>
      <c r="BL23">
        <v>-0.39755379308734007</v>
      </c>
      <c r="BM23">
        <v>2.8780322885979075</v>
      </c>
      <c r="BN23">
        <v>1.6187250666575466</v>
      </c>
      <c r="BO23">
        <v>4.1389944787536734</v>
      </c>
      <c r="BP23">
        <v>3.3856173953716251</v>
      </c>
      <c r="BQ23">
        <v>1.5710501446168479</v>
      </c>
    </row>
    <row r="24" spans="1:69" hidden="1" x14ac:dyDescent="0.2">
      <c r="A24" t="s">
        <v>109</v>
      </c>
      <c r="B24" t="s">
        <v>110</v>
      </c>
      <c r="C24" t="s">
        <v>71</v>
      </c>
      <c r="D24" t="s">
        <v>72</v>
      </c>
      <c r="F24">
        <v>1.9006082405977907</v>
      </c>
      <c r="G24">
        <v>2.0103715704250078</v>
      </c>
      <c r="H24">
        <v>5.1475247538376578</v>
      </c>
      <c r="I24">
        <v>1.8122165810679007</v>
      </c>
      <c r="J24">
        <v>-0.65607201818281169</v>
      </c>
      <c r="K24">
        <v>2.3031169439936576</v>
      </c>
      <c r="L24">
        <v>-4.4110084043479674</v>
      </c>
      <c r="M24">
        <v>-0.26387869559152932</v>
      </c>
      <c r="N24">
        <v>6.9131541932516711</v>
      </c>
      <c r="O24">
        <v>1.7834272185765201</v>
      </c>
      <c r="P24">
        <v>3.3774753255691365</v>
      </c>
      <c r="Q24">
        <v>7.296645255000584</v>
      </c>
      <c r="R24">
        <v>2.6778589665426722</v>
      </c>
      <c r="S24">
        <v>11.014709385343522</v>
      </c>
      <c r="T24">
        <v>8.1761559668211987</v>
      </c>
      <c r="U24">
        <v>6.725505674826266</v>
      </c>
      <c r="V24">
        <v>18.661976330953507</v>
      </c>
      <c r="W24">
        <v>14.532325501621585</v>
      </c>
      <c r="X24">
        <v>7.7535255123221987</v>
      </c>
      <c r="Y24">
        <v>8.6943685209580366</v>
      </c>
      <c r="Z24">
        <v>13.584619381945018</v>
      </c>
      <c r="AA24">
        <v>9.0465164203043003</v>
      </c>
      <c r="AB24">
        <v>5.4093169620293935</v>
      </c>
      <c r="AC24">
        <v>6.5010852891871309</v>
      </c>
      <c r="AD24">
        <v>0.75706671031569783</v>
      </c>
      <c r="AE24">
        <v>-6.345676864583794</v>
      </c>
      <c r="AF24">
        <v>1.2373231683896222</v>
      </c>
      <c r="AG24">
        <v>3.4085566001813277</v>
      </c>
      <c r="AH24">
        <v>4.8316204121692863</v>
      </c>
      <c r="AI24">
        <v>1.8100154196004894</v>
      </c>
      <c r="AJ24">
        <v>-3.967780747558038</v>
      </c>
      <c r="AK24">
        <v>0.22705961999687929</v>
      </c>
      <c r="AL24">
        <v>-1.4418397832899927</v>
      </c>
      <c r="AM24">
        <v>14.638961884122665</v>
      </c>
      <c r="AN24">
        <v>6.7695690379603803</v>
      </c>
      <c r="AO24">
        <v>0.34870515112844203</v>
      </c>
      <c r="AP24">
        <v>1.5561998498371281</v>
      </c>
      <c r="AQ24">
        <v>7.9403160307083454</v>
      </c>
      <c r="AR24">
        <v>17.390824506462337</v>
      </c>
      <c r="AS24">
        <v>-0.81977318522082498</v>
      </c>
      <c r="AT24">
        <v>3.961552917150172</v>
      </c>
      <c r="AU24">
        <v>3.0569860906834805</v>
      </c>
      <c r="AV24">
        <v>1.4847288149242672</v>
      </c>
      <c r="AW24">
        <v>9.0648589837556415E-2</v>
      </c>
      <c r="AX24">
        <v>3.7393853972805431</v>
      </c>
      <c r="AY24">
        <v>-0.66282682246655611</v>
      </c>
      <c r="AZ24">
        <v>2.4923491834170051</v>
      </c>
      <c r="BA24">
        <v>9.1598004374907447</v>
      </c>
      <c r="BB24">
        <v>2.4055048704277198</v>
      </c>
      <c r="BC24">
        <v>3.7796187281570468</v>
      </c>
      <c r="BD24">
        <v>6.7380048073259644</v>
      </c>
      <c r="BE24">
        <v>5.8239994879591563</v>
      </c>
      <c r="BF24">
        <v>-2.1291711776874536</v>
      </c>
      <c r="BG24">
        <v>-0.62038692584047794</v>
      </c>
      <c r="BH24">
        <v>-2.223954179193143</v>
      </c>
      <c r="BI24">
        <v>2.6042991922656142</v>
      </c>
      <c r="BJ24">
        <v>1.416297279981066</v>
      </c>
      <c r="BK24">
        <v>1.0739668896834473</v>
      </c>
      <c r="BL24">
        <v>0.51290051556127025</v>
      </c>
      <c r="BM24">
        <v>6.4655957878802894</v>
      </c>
      <c r="BN24">
        <v>0.11286311294395546</v>
      </c>
      <c r="BO24">
        <v>5.8889651123675861</v>
      </c>
      <c r="BP24">
        <v>1.9980475240768811</v>
      </c>
      <c r="BQ24">
        <v>8.9221412290617224</v>
      </c>
    </row>
    <row r="25" spans="1:69" hidden="1" x14ac:dyDescent="0.2">
      <c r="A25" t="s">
        <v>111</v>
      </c>
      <c r="B25" t="s">
        <v>112</v>
      </c>
      <c r="C25" t="s">
        <v>71</v>
      </c>
      <c r="D25" t="s">
        <v>72</v>
      </c>
      <c r="F25">
        <v>6.2574815786708768</v>
      </c>
      <c r="G25">
        <v>2.2223495822373707E-2</v>
      </c>
      <c r="H25">
        <v>5.1640590218401883</v>
      </c>
      <c r="I25">
        <v>-8.7432246241432097</v>
      </c>
      <c r="J25">
        <v>7.9317049565734274</v>
      </c>
      <c r="K25">
        <v>6.2961888340660579</v>
      </c>
      <c r="L25">
        <v>14.791963451574588</v>
      </c>
      <c r="M25">
        <v>-5.7695843810757026</v>
      </c>
      <c r="N25">
        <v>11.827715801319812</v>
      </c>
      <c r="O25">
        <v>0.51030904862805926</v>
      </c>
      <c r="P25">
        <v>2.9632549322005275</v>
      </c>
      <c r="Q25">
        <v>4.4020196520286419</v>
      </c>
      <c r="R25">
        <v>61.405783276599834</v>
      </c>
      <c r="S25">
        <v>44.542716897893882</v>
      </c>
      <c r="T25">
        <v>80.569756403807077</v>
      </c>
      <c r="U25">
        <v>-17.630419292588201</v>
      </c>
      <c r="V25">
        <v>-3.2101559285595727</v>
      </c>
      <c r="W25">
        <v>25.618885587245828</v>
      </c>
      <c r="X25">
        <v>12.564505989963919</v>
      </c>
      <c r="Y25">
        <v>17.555067090069997</v>
      </c>
      <c r="Z25">
        <v>9.8946903119092156</v>
      </c>
      <c r="AA25">
        <v>9.8558124633465525</v>
      </c>
      <c r="AB25">
        <v>8.4877558783794456</v>
      </c>
      <c r="AC25">
        <v>7.875566349088885</v>
      </c>
      <c r="AD25">
        <v>18.495115699635619</v>
      </c>
      <c r="AE25">
        <v>8.2544048942733355</v>
      </c>
      <c r="AF25">
        <v>11.119631168619421</v>
      </c>
      <c r="AG25">
        <v>7.495835297101678</v>
      </c>
      <c r="AH25">
        <v>8.3379732498460015</v>
      </c>
      <c r="AI25">
        <v>6.5327352922586783</v>
      </c>
      <c r="AJ25">
        <v>2.7295319953870774</v>
      </c>
      <c r="AK25">
        <v>2.5821618999105169</v>
      </c>
      <c r="AL25">
        <v>0.15551817272397273</v>
      </c>
      <c r="AM25">
        <v>3.9662163155599757</v>
      </c>
      <c r="AN25">
        <v>7.1449387034039518</v>
      </c>
      <c r="AO25">
        <v>19.143213112828491</v>
      </c>
      <c r="AP25">
        <v>3.8002322009131433</v>
      </c>
      <c r="AQ25">
        <v>4.7362125618407163</v>
      </c>
      <c r="AR25">
        <v>3.7810377366500205</v>
      </c>
      <c r="AS25">
        <v>3.4466593491479784</v>
      </c>
      <c r="AT25">
        <v>3.2611601322243899</v>
      </c>
      <c r="AU25">
        <v>3.8928674350377008</v>
      </c>
      <c r="AV25">
        <v>5.815816647896213</v>
      </c>
      <c r="AW25">
        <v>4.5621363796935981</v>
      </c>
      <c r="AX25">
        <v>4.5863607064184464</v>
      </c>
      <c r="AY25">
        <v>5.8759358110993816</v>
      </c>
      <c r="AZ25">
        <v>6.4712601050251521</v>
      </c>
      <c r="BA25">
        <v>7.860966093942622</v>
      </c>
      <c r="BB25">
        <v>6.7643546809187427</v>
      </c>
      <c r="BC25">
        <v>7.1446630281084111</v>
      </c>
      <c r="BD25">
        <v>7.8594508527249189</v>
      </c>
      <c r="BE25">
        <v>8.1645736762463486</v>
      </c>
      <c r="BF25">
        <v>7.1749534323241448</v>
      </c>
      <c r="BG25">
        <v>5.6687885251390355</v>
      </c>
      <c r="BH25">
        <v>5.8727770410232267</v>
      </c>
      <c r="BI25">
        <v>27.850737724833905</v>
      </c>
      <c r="BJ25">
        <v>5.0475975820371417</v>
      </c>
      <c r="BK25">
        <v>5.8055387670457463</v>
      </c>
      <c r="BL25">
        <v>3.6581375516217207</v>
      </c>
      <c r="BM25">
        <v>3.8410633858802612</v>
      </c>
      <c r="BN25">
        <v>4.1211747067956992</v>
      </c>
      <c r="BO25">
        <v>5.0490218788313115</v>
      </c>
      <c r="BP25">
        <v>6.8971240400344129</v>
      </c>
      <c r="BQ25">
        <v>6.8828524695348676</v>
      </c>
    </row>
    <row r="26" spans="1:69" hidden="1" x14ac:dyDescent="0.2">
      <c r="A26" t="s">
        <v>113</v>
      </c>
      <c r="B26" t="s">
        <v>114</v>
      </c>
      <c r="C26" t="s">
        <v>71</v>
      </c>
      <c r="D26" t="s">
        <v>72</v>
      </c>
      <c r="Z26">
        <v>2.820938368298755</v>
      </c>
      <c r="AA26">
        <v>1.9164728045925017</v>
      </c>
      <c r="AB26">
        <v>-0.64527172963981627</v>
      </c>
      <c r="AC26">
        <v>2.7367484963819493</v>
      </c>
      <c r="AD26">
        <v>0.22917712844102311</v>
      </c>
      <c r="AE26">
        <v>1.3454896153242544</v>
      </c>
      <c r="AF26">
        <v>6.3838800203470214E-2</v>
      </c>
      <c r="AG26">
        <v>-5.3897438365690817</v>
      </c>
      <c r="AH26">
        <v>6.729684134269192</v>
      </c>
      <c r="AI26">
        <v>26.188000659146994</v>
      </c>
      <c r="AJ26">
        <v>226.53785988541358</v>
      </c>
      <c r="AK26">
        <v>59.578649427742789</v>
      </c>
      <c r="AL26">
        <v>51.091053920171561</v>
      </c>
      <c r="AM26">
        <v>72.704968265227564</v>
      </c>
      <c r="AN26">
        <v>135.95561887713004</v>
      </c>
      <c r="AO26">
        <v>62.966245183865908</v>
      </c>
      <c r="AP26">
        <v>913.21309637619811</v>
      </c>
      <c r="AQ26">
        <v>33.951030074826605</v>
      </c>
      <c r="AR26">
        <v>3.3191380900413634</v>
      </c>
      <c r="AS26">
        <v>7.3808388510099974</v>
      </c>
      <c r="AT26">
        <v>6.1177323738573506</v>
      </c>
      <c r="AU26">
        <v>3.84837869171173</v>
      </c>
      <c r="AV26">
        <v>2.1894108269229946</v>
      </c>
      <c r="AW26">
        <v>5.5815579199317114</v>
      </c>
      <c r="AX26">
        <v>6.5942589744193469</v>
      </c>
      <c r="AY26">
        <v>6.7564749007917442</v>
      </c>
      <c r="AZ26">
        <v>11.051431683173746</v>
      </c>
      <c r="BA26">
        <v>8.1034561946545409</v>
      </c>
      <c r="BB26">
        <v>3.9380183620587985</v>
      </c>
      <c r="BC26">
        <v>0.76412987891659157</v>
      </c>
      <c r="BD26">
        <v>6.112830359815888</v>
      </c>
      <c r="BE26">
        <v>1.1121788525674674</v>
      </c>
      <c r="BF26">
        <v>7.1951809539427813E-2</v>
      </c>
      <c r="BG26">
        <v>1.3407828738664733</v>
      </c>
      <c r="BH26">
        <v>2.9477464872361736</v>
      </c>
      <c r="BI26">
        <v>3.3235592041114472</v>
      </c>
      <c r="BJ26">
        <v>4.8131213122434247</v>
      </c>
      <c r="BK26">
        <v>4.2552572981719123</v>
      </c>
      <c r="BL26">
        <v>5.2354870481074727</v>
      </c>
      <c r="BM26">
        <v>4.3410386238562921</v>
      </c>
      <c r="BN26">
        <v>6.9666243393333218</v>
      </c>
      <c r="BO26">
        <v>15.918359689122227</v>
      </c>
      <c r="BP26">
        <v>7.9841992433668167</v>
      </c>
      <c r="BQ26">
        <v>6.5230360744335911</v>
      </c>
    </row>
    <row r="27" spans="1:69" hidden="1" x14ac:dyDescent="0.2">
      <c r="A27" t="s">
        <v>115</v>
      </c>
      <c r="B27" t="s">
        <v>116</v>
      </c>
      <c r="C27" t="s">
        <v>71</v>
      </c>
      <c r="D27" t="s">
        <v>72</v>
      </c>
      <c r="P27">
        <v>5.7996485738699874</v>
      </c>
      <c r="Q27">
        <v>5.2113997517455175</v>
      </c>
      <c r="R27">
        <v>13.980099703549854</v>
      </c>
      <c r="S27">
        <v>24.685416359351535</v>
      </c>
      <c r="T27">
        <v>15.905799376510402</v>
      </c>
      <c r="U27">
        <v>10.322371871432651</v>
      </c>
      <c r="V27">
        <v>11.297603045729375</v>
      </c>
      <c r="W27">
        <v>7.6871212820857124</v>
      </c>
      <c r="X27">
        <v>13.512227830313805</v>
      </c>
      <c r="Y27">
        <v>24.158081587862839</v>
      </c>
      <c r="Z27">
        <v>18.911765019584735</v>
      </c>
      <c r="AA27">
        <v>13.723994141722045</v>
      </c>
      <c r="AB27">
        <v>-3.6899671384598207</v>
      </c>
      <c r="AC27">
        <v>-0.41848008686513083</v>
      </c>
      <c r="AD27">
        <v>-1.8249945325943173</v>
      </c>
      <c r="AE27">
        <v>-17.392650314880754</v>
      </c>
      <c r="AF27">
        <v>0.65904845870410611</v>
      </c>
      <c r="AG27">
        <v>2.0094277142060406</v>
      </c>
      <c r="AH27">
        <v>3.9746604097949785</v>
      </c>
      <c r="AI27">
        <v>4.8266955523632333</v>
      </c>
      <c r="AJ27">
        <v>-1.882523558478681</v>
      </c>
      <c r="AK27">
        <v>-3.5326526558898621</v>
      </c>
      <c r="AL27">
        <v>-3.025814832688468</v>
      </c>
      <c r="AM27">
        <v>7.3311873328351993</v>
      </c>
      <c r="AN27">
        <v>1.0906693508147498</v>
      </c>
      <c r="AO27">
        <v>0.19671980586733184</v>
      </c>
      <c r="AP27">
        <v>0.93171690005731023</v>
      </c>
      <c r="AQ27">
        <v>-7.0574117914618171</v>
      </c>
      <c r="AR27">
        <v>2.6564371446551149</v>
      </c>
      <c r="AS27">
        <v>14.322524099362084</v>
      </c>
      <c r="AT27">
        <v>-3.3638285282116698</v>
      </c>
      <c r="AU27">
        <v>3.4143495525374306</v>
      </c>
      <c r="AV27">
        <v>8.602581320697908</v>
      </c>
      <c r="AW27">
        <v>10.991083414486226</v>
      </c>
      <c r="AX27">
        <v>13.734968351693695</v>
      </c>
      <c r="AY27">
        <v>8.8424373315114053</v>
      </c>
      <c r="AZ27">
        <v>8.4356318502249508</v>
      </c>
      <c r="BA27">
        <v>11.365091739546187</v>
      </c>
      <c r="BB27">
        <v>-12.993941011602601</v>
      </c>
      <c r="BC27">
        <v>12.006950909995282</v>
      </c>
      <c r="BD27">
        <v>9.4859632506893945</v>
      </c>
      <c r="BE27">
        <v>2.9339472555121091</v>
      </c>
      <c r="BF27">
        <v>0.49982895638385116</v>
      </c>
      <c r="BG27">
        <v>-1.4404368347196908</v>
      </c>
      <c r="BH27">
        <v>-8.7566734024694455</v>
      </c>
      <c r="BI27">
        <v>0.35724777804711039</v>
      </c>
      <c r="BJ27">
        <v>4.6158342143092881</v>
      </c>
      <c r="BK27">
        <v>4.2127135257160546</v>
      </c>
      <c r="BL27">
        <v>0.16480219945876229</v>
      </c>
      <c r="BM27">
        <v>-5.8288484641255991</v>
      </c>
      <c r="BN27">
        <v>9.2084026358060243</v>
      </c>
      <c r="BO27">
        <v>7.1348887990078111</v>
      </c>
      <c r="BP27">
        <v>-4.28437217979031</v>
      </c>
      <c r="BQ27">
        <v>0.31670294113934006</v>
      </c>
    </row>
    <row r="28" spans="1:69" hidden="1" x14ac:dyDescent="0.2">
      <c r="A28" t="s">
        <v>117</v>
      </c>
      <c r="B28" t="s">
        <v>118</v>
      </c>
      <c r="C28" t="s">
        <v>71</v>
      </c>
      <c r="D28" t="s">
        <v>72</v>
      </c>
      <c r="F28">
        <v>1.1606012794695317</v>
      </c>
      <c r="G28">
        <v>1.0896325432939733</v>
      </c>
      <c r="H28">
        <v>1.3437641730292427</v>
      </c>
      <c r="I28">
        <v>1.5053010520326353</v>
      </c>
      <c r="J28">
        <v>2.0117277457194263</v>
      </c>
      <c r="K28">
        <v>3.7713185398470728</v>
      </c>
      <c r="L28">
        <v>4.7130725384637628</v>
      </c>
      <c r="M28">
        <v>5.1634807964522338</v>
      </c>
      <c r="N28">
        <v>8.925372801047061</v>
      </c>
      <c r="O28">
        <v>6.145345656122231</v>
      </c>
      <c r="P28">
        <v>4.5825515794810201</v>
      </c>
      <c r="Q28">
        <v>6.7866589009426264</v>
      </c>
      <c r="R28">
        <v>5.5510234767681226</v>
      </c>
      <c r="S28">
        <v>13.232706981816349</v>
      </c>
      <c r="T28">
        <v>10.656378268499751</v>
      </c>
      <c r="U28">
        <v>2.3896652671090663</v>
      </c>
      <c r="V28">
        <v>1.7287030378168424</v>
      </c>
      <c r="W28">
        <v>2.2478837709413</v>
      </c>
      <c r="X28">
        <v>8.5540965371675952</v>
      </c>
      <c r="Y28">
        <v>10.006865620202902</v>
      </c>
      <c r="Z28">
        <v>17.688327706980004</v>
      </c>
      <c r="AA28">
        <v>3.6950075490398007</v>
      </c>
      <c r="AB28">
        <v>5.9769670241477684</v>
      </c>
      <c r="AC28">
        <v>3.1714354592383671</v>
      </c>
      <c r="AD28">
        <v>8.4607271519637521</v>
      </c>
      <c r="AE28">
        <v>4.6603870236360478</v>
      </c>
      <c r="AF28">
        <v>6.5863476578433335</v>
      </c>
      <c r="AG28">
        <v>1.4843106424251573</v>
      </c>
      <c r="AH28">
        <v>1.8131713289960061</v>
      </c>
      <c r="AI28">
        <v>5.0737110473879881</v>
      </c>
      <c r="AJ28">
        <v>2.5565398878869985</v>
      </c>
      <c r="AK28">
        <v>3.9055654365796926</v>
      </c>
      <c r="AL28">
        <v>-0.85198374786276077</v>
      </c>
      <c r="AM28">
        <v>2.1833665779464155</v>
      </c>
      <c r="AN28">
        <v>0.80243533729004923</v>
      </c>
      <c r="AO28">
        <v>0.98424364077314408</v>
      </c>
      <c r="AP28">
        <v>73.229470237307851</v>
      </c>
      <c r="AQ28">
        <v>3.0489213274769185</v>
      </c>
      <c r="AR28">
        <v>4.9509389244303321</v>
      </c>
      <c r="AS28">
        <v>0.92270742527738037</v>
      </c>
      <c r="AT28">
        <v>0.35315070456091746</v>
      </c>
      <c r="AU28">
        <v>3.9604743250220054</v>
      </c>
      <c r="AV28">
        <v>1.1548790542780409</v>
      </c>
      <c r="AW28">
        <v>1.1949975911647641</v>
      </c>
      <c r="AX28">
        <v>5.056008398492537</v>
      </c>
      <c r="AY28">
        <v>0.82819450742665879</v>
      </c>
      <c r="AZ28">
        <v>2.9479658117552106</v>
      </c>
      <c r="BA28">
        <v>1.4886106880551893</v>
      </c>
      <c r="BB28">
        <v>-1.0363803139799614</v>
      </c>
      <c r="BC28">
        <v>-0.39256556562479261</v>
      </c>
      <c r="BD28">
        <v>-0.85860532278449853</v>
      </c>
      <c r="BE28">
        <v>1.8502726272551229</v>
      </c>
      <c r="BF28">
        <v>0.59399240846667567</v>
      </c>
      <c r="BG28">
        <v>4.4080747865623096</v>
      </c>
      <c r="BH28">
        <v>5.2219058616464764</v>
      </c>
      <c r="BI28">
        <v>1.5398554837024392</v>
      </c>
      <c r="BJ28">
        <v>1.3472919743662004</v>
      </c>
      <c r="BK28">
        <v>0.57870583788266572</v>
      </c>
      <c r="BL28">
        <v>4.4475744235402033</v>
      </c>
      <c r="BM28">
        <v>-2.3234351515093721</v>
      </c>
      <c r="BN28">
        <v>-1.2208125128793341</v>
      </c>
      <c r="BO28">
        <v>4.1245884289491812</v>
      </c>
      <c r="BP28">
        <v>6.6395658358653122</v>
      </c>
      <c r="BQ28">
        <v>0.28857555235003929</v>
      </c>
    </row>
    <row r="29" spans="1:69" hidden="1" x14ac:dyDescent="0.2">
      <c r="A29" t="s">
        <v>119</v>
      </c>
      <c r="B29" t="s">
        <v>120</v>
      </c>
      <c r="C29" t="s">
        <v>71</v>
      </c>
      <c r="D29" t="s">
        <v>72</v>
      </c>
      <c r="AJ29">
        <v>48.472407760157097</v>
      </c>
      <c r="AK29">
        <v>1362.0287835515965</v>
      </c>
      <c r="AL29">
        <v>7544.8136815056914</v>
      </c>
      <c r="AM29">
        <v>49.118267561476586</v>
      </c>
      <c r="AN29">
        <v>13.38244635078847</v>
      </c>
      <c r="AO29">
        <v>1.6396339145734657</v>
      </c>
      <c r="AP29">
        <v>11.149293946836352</v>
      </c>
      <c r="AQ29">
        <v>-2.4396946739962999</v>
      </c>
      <c r="AR29">
        <v>8.4333237399380607</v>
      </c>
      <c r="AS29">
        <v>30.332593026765693</v>
      </c>
      <c r="AT29">
        <v>4.7261176162164844</v>
      </c>
      <c r="AU29">
        <v>5.0078663725151529</v>
      </c>
      <c r="AV29">
        <v>1.4108614796775072</v>
      </c>
      <c r="AW29">
        <v>2.1619715777576403</v>
      </c>
      <c r="AX29">
        <v>6.1890157679820561</v>
      </c>
      <c r="AY29">
        <v>7.8001273597360097</v>
      </c>
      <c r="AZ29">
        <v>6.1975693910760583</v>
      </c>
      <c r="BA29">
        <v>7.3353512859779357</v>
      </c>
      <c r="BB29">
        <v>0.18546652937484964</v>
      </c>
      <c r="BC29">
        <v>1.4062939662060359</v>
      </c>
      <c r="BD29">
        <v>2.4325279082448219</v>
      </c>
      <c r="BE29">
        <v>0.79577334730147697</v>
      </c>
      <c r="BF29">
        <v>-0.22412200317536701</v>
      </c>
      <c r="BG29">
        <v>1.0003372193036171</v>
      </c>
      <c r="BH29">
        <v>1.3657307091496449</v>
      </c>
      <c r="BI29">
        <v>1.3333059674647103</v>
      </c>
      <c r="BJ29">
        <v>1.7787070267749669</v>
      </c>
      <c r="BK29">
        <v>2.7916249040189172</v>
      </c>
      <c r="BL29">
        <v>2.4715046845936257</v>
      </c>
      <c r="BM29">
        <v>6.214254963059318E-2</v>
      </c>
      <c r="BN29">
        <v>4.9646044157001654</v>
      </c>
      <c r="BO29">
        <v>11.808840106401504</v>
      </c>
      <c r="BP29">
        <v>7.2912267716382502</v>
      </c>
      <c r="BQ29">
        <v>0.14518086642189587</v>
      </c>
    </row>
    <row r="30" spans="1:69" hidden="1" x14ac:dyDescent="0.2">
      <c r="A30" t="s">
        <v>121</v>
      </c>
      <c r="B30" t="s">
        <v>122</v>
      </c>
      <c r="C30" t="s">
        <v>71</v>
      </c>
      <c r="D30" t="s">
        <v>72</v>
      </c>
      <c r="AJ30">
        <v>110.37670542493689</v>
      </c>
      <c r="AK30">
        <v>1030.776808998902</v>
      </c>
      <c r="AL30">
        <v>1058.7144993593515</v>
      </c>
      <c r="AM30">
        <v>1945.7486047585164</v>
      </c>
      <c r="AN30">
        <v>661.50407603732515</v>
      </c>
      <c r="AO30">
        <v>53.714327422724921</v>
      </c>
      <c r="AP30">
        <v>71.649574806129152</v>
      </c>
      <c r="AQ30">
        <v>76.580446214654927</v>
      </c>
      <c r="AR30">
        <v>316.79343498939164</v>
      </c>
      <c r="AS30">
        <v>185.29076116098622</v>
      </c>
      <c r="AT30">
        <v>79.534572463084231</v>
      </c>
      <c r="AU30">
        <v>44.893738774073626</v>
      </c>
      <c r="AV30">
        <v>30.685321575833797</v>
      </c>
      <c r="AW30">
        <v>22.675122424066487</v>
      </c>
      <c r="AX30">
        <v>18.972160598098299</v>
      </c>
      <c r="AY30">
        <v>10.748615738224117</v>
      </c>
      <c r="AZ30">
        <v>12.872702227572773</v>
      </c>
      <c r="BA30">
        <v>21.213536082655281</v>
      </c>
      <c r="BB30">
        <v>9.2586619416266558</v>
      </c>
      <c r="BC30">
        <v>11.340309882079438</v>
      </c>
      <c r="BD30">
        <v>70.761290967378073</v>
      </c>
      <c r="BE30">
        <v>75.241666649321047</v>
      </c>
      <c r="BF30">
        <v>21.263000253544689</v>
      </c>
      <c r="BG30">
        <v>18.192598477072991</v>
      </c>
      <c r="BH30">
        <v>16.022493777859424</v>
      </c>
      <c r="BI30">
        <v>8.3419170502215536</v>
      </c>
      <c r="BJ30">
        <v>8.6231474042704122</v>
      </c>
      <c r="BK30">
        <v>12.139229976109718</v>
      </c>
      <c r="BL30">
        <v>8.5769890965353</v>
      </c>
      <c r="BM30">
        <v>11.877465082350795</v>
      </c>
      <c r="BN30">
        <v>15.326573695052275</v>
      </c>
      <c r="BO30">
        <v>14.884862366483873</v>
      </c>
      <c r="BP30">
        <v>8.0467621512889593</v>
      </c>
      <c r="BQ30">
        <v>8.7678713195503519</v>
      </c>
    </row>
    <row r="31" spans="1:69" hidden="1" x14ac:dyDescent="0.2">
      <c r="A31" t="s">
        <v>123</v>
      </c>
      <c r="B31" t="s">
        <v>124</v>
      </c>
      <c r="C31" t="s">
        <v>71</v>
      </c>
      <c r="D31" t="s">
        <v>72</v>
      </c>
      <c r="F31">
        <v>1.7630270463230318</v>
      </c>
      <c r="G31">
        <v>1.3569645063815585</v>
      </c>
      <c r="H31">
        <v>0.93765930992518065</v>
      </c>
      <c r="I31">
        <v>2.1361711059667385</v>
      </c>
      <c r="J31">
        <v>5.6106142233985281</v>
      </c>
      <c r="K31">
        <v>5.7739337057622038</v>
      </c>
      <c r="L31">
        <v>3.1224436646117653</v>
      </c>
      <c r="M31">
        <v>1.6793581272989968</v>
      </c>
      <c r="N31">
        <v>0.21593231511984357</v>
      </c>
      <c r="O31">
        <v>7.3696423660241948</v>
      </c>
      <c r="P31">
        <v>5.0639036169399958</v>
      </c>
      <c r="Q31">
        <v>-1.2352350797959701</v>
      </c>
      <c r="R31">
        <v>14.676270880540727</v>
      </c>
      <c r="S31">
        <v>21.710622914524677</v>
      </c>
      <c r="T31">
        <v>16.877291434555545</v>
      </c>
      <c r="U31">
        <v>1.1574844453629254</v>
      </c>
      <c r="V31">
        <v>2.2424953339952793</v>
      </c>
      <c r="W31">
        <v>7.3491819899450803</v>
      </c>
      <c r="X31">
        <v>3.5854342795694549</v>
      </c>
      <c r="Y31">
        <v>51.250653957155237</v>
      </c>
      <c r="Z31">
        <v>0.16629433651844749</v>
      </c>
      <c r="AA31">
        <v>-4.576972244757485</v>
      </c>
      <c r="AB31">
        <v>7.7863794745850754</v>
      </c>
      <c r="AC31">
        <v>8.6108346358415844</v>
      </c>
      <c r="AD31">
        <v>-2.0363856550428778</v>
      </c>
      <c r="AE31">
        <v>3.7072847541425489</v>
      </c>
      <c r="AF31">
        <v>7.591888218657175</v>
      </c>
      <c r="AG31">
        <v>3.4423379853282086</v>
      </c>
      <c r="AH31">
        <v>3.1107067981345438</v>
      </c>
      <c r="AI31">
        <v>-2.9915989144200239E-2</v>
      </c>
      <c r="AJ31">
        <v>-2.3721033117321042</v>
      </c>
      <c r="AK31">
        <v>3.4366896689579534</v>
      </c>
      <c r="AL31">
        <v>1.8761084822576777</v>
      </c>
      <c r="AM31">
        <v>2.6038365819519527</v>
      </c>
      <c r="AN31">
        <v>5.2817088096358162</v>
      </c>
      <c r="AO31">
        <v>2.7460315831043118</v>
      </c>
      <c r="AP31">
        <v>-1.5204607756243149</v>
      </c>
      <c r="AQ31">
        <v>2.4378598547975656</v>
      </c>
      <c r="AR31">
        <v>-1.6570221546390371</v>
      </c>
      <c r="AS31">
        <v>1.444287595523349</v>
      </c>
      <c r="AT31">
        <v>-1.9214546052185</v>
      </c>
      <c r="AU31">
        <v>0.69189781895191516</v>
      </c>
      <c r="AV31">
        <v>-4.1075036583600024</v>
      </c>
      <c r="AW31">
        <v>2.1417487314622861</v>
      </c>
      <c r="AX31">
        <v>3.0034441215283749</v>
      </c>
      <c r="AY31">
        <v>3.2214516870257057</v>
      </c>
      <c r="AZ31">
        <v>3.8062992703728327</v>
      </c>
      <c r="BA31">
        <v>3.6055746822511736</v>
      </c>
      <c r="BB31">
        <v>-2.5188690656173947</v>
      </c>
      <c r="BC31">
        <v>2.2485368571528994</v>
      </c>
      <c r="BD31">
        <v>4.9165887610611776</v>
      </c>
      <c r="BE31">
        <v>0.7417645298479556</v>
      </c>
      <c r="BF31">
        <v>1.9202828813745612</v>
      </c>
      <c r="BG31">
        <v>1.1142540892879111</v>
      </c>
      <c r="BH31">
        <v>-0.30458006591658204</v>
      </c>
      <c r="BI31">
        <v>2.0942796630234426</v>
      </c>
      <c r="BJ31">
        <v>3.0329103093559127</v>
      </c>
      <c r="BK31">
        <v>7.7728472673200599E-2</v>
      </c>
      <c r="BL31">
        <v>-0.1178354064039695</v>
      </c>
      <c r="BM31">
        <v>-0.65200022370788702</v>
      </c>
      <c r="BN31">
        <v>0.63076846907360107</v>
      </c>
      <c r="BO31">
        <v>7.2524479706361831</v>
      </c>
      <c r="BP31">
        <v>6.5097016138076356</v>
      </c>
      <c r="BQ31">
        <v>5.997557100804201</v>
      </c>
    </row>
    <row r="32" spans="1:69" hidden="1" x14ac:dyDescent="0.2">
      <c r="A32" t="s">
        <v>125</v>
      </c>
      <c r="B32" t="s">
        <v>126</v>
      </c>
      <c r="C32" t="s">
        <v>71</v>
      </c>
      <c r="D32" t="s">
        <v>72</v>
      </c>
      <c r="F32">
        <v>0.93903654813713899</v>
      </c>
      <c r="G32">
        <v>0.9765444911198955</v>
      </c>
      <c r="H32">
        <v>1.2708014389851883</v>
      </c>
      <c r="I32">
        <v>0.46105304791903734</v>
      </c>
      <c r="J32">
        <v>1.4611229815214557</v>
      </c>
      <c r="K32">
        <v>2.608611040074436</v>
      </c>
      <c r="L32">
        <v>3.4803355933220104</v>
      </c>
      <c r="M32">
        <v>8.9816146265483354</v>
      </c>
      <c r="N32">
        <v>6.2810631224010223</v>
      </c>
      <c r="O32">
        <v>6.2695194262510086</v>
      </c>
      <c r="P32">
        <v>9.5462115420839098</v>
      </c>
      <c r="Q32">
        <v>9.5257707750654674</v>
      </c>
      <c r="R32">
        <v>12.812209651433974</v>
      </c>
      <c r="S32">
        <v>14.983947736214361</v>
      </c>
      <c r="T32">
        <v>6.357027177014146</v>
      </c>
      <c r="U32">
        <v>2.7836492232337093</v>
      </c>
      <c r="V32">
        <v>9.2691010990900935</v>
      </c>
      <c r="W32">
        <v>4.9187102394765674</v>
      </c>
      <c r="X32">
        <v>6.4153634174446381</v>
      </c>
      <c r="Y32">
        <v>9.8540870562181482</v>
      </c>
      <c r="Z32">
        <v>17.709391308070565</v>
      </c>
      <c r="AA32">
        <v>12.208591969794227</v>
      </c>
      <c r="AB32">
        <v>10.997381067942456</v>
      </c>
      <c r="AC32">
        <v>10.29655248608438</v>
      </c>
      <c r="AD32">
        <v>7.6140881784927359</v>
      </c>
      <c r="AE32">
        <v>5.8351367115252515</v>
      </c>
      <c r="AF32">
        <v>6.4881541833138101</v>
      </c>
      <c r="AG32">
        <v>4.8930139727443276</v>
      </c>
      <c r="AH32">
        <v>5.636713133823946</v>
      </c>
      <c r="AI32">
        <v>6.0335723219279345</v>
      </c>
      <c r="AJ32">
        <v>6.430591162057155</v>
      </c>
      <c r="AK32">
        <v>2.813881100985256</v>
      </c>
      <c r="AL32">
        <v>5.1963045890809383</v>
      </c>
      <c r="AM32">
        <v>1.9595679677018296</v>
      </c>
      <c r="AN32">
        <v>4.178463515155741</v>
      </c>
      <c r="AO32">
        <v>29.364697605249148</v>
      </c>
      <c r="AP32">
        <v>4.0239031016117366</v>
      </c>
      <c r="AQ32">
        <v>2.7415511064557592</v>
      </c>
      <c r="AR32">
        <v>2.712151202896095</v>
      </c>
      <c r="AS32">
        <v>-4.2363561473473084</v>
      </c>
      <c r="AT32">
        <v>-1.3691957412820415</v>
      </c>
      <c r="AU32">
        <v>8.580442291046154</v>
      </c>
      <c r="AV32">
        <v>2.8247395206592216</v>
      </c>
      <c r="AW32">
        <v>4.6921425981385028</v>
      </c>
      <c r="AX32">
        <v>6.7623747376536016</v>
      </c>
      <c r="AY32">
        <v>19.579161808103777</v>
      </c>
      <c r="AZ32">
        <v>6.5748948317307736</v>
      </c>
      <c r="BA32">
        <v>5.1089141023636273</v>
      </c>
      <c r="BB32">
        <v>1.0435831699592768</v>
      </c>
      <c r="BC32">
        <v>2.2362220025570707</v>
      </c>
      <c r="BD32">
        <v>-1.1512559809426506</v>
      </c>
      <c r="BE32">
        <v>6.6982036915573389</v>
      </c>
      <c r="BF32">
        <v>1.6572731942049899</v>
      </c>
      <c r="BG32">
        <v>3.0118908772151798</v>
      </c>
      <c r="BH32">
        <v>2.9520200698424333</v>
      </c>
      <c r="BI32">
        <v>4.3732038422145081</v>
      </c>
      <c r="BJ32">
        <v>-9.4833735989737988E-2</v>
      </c>
      <c r="BK32">
        <v>1.6111169764895976</v>
      </c>
      <c r="BL32">
        <v>2.4184945361273265</v>
      </c>
      <c r="BM32">
        <v>-0.42301723694126281</v>
      </c>
      <c r="BN32">
        <v>1.1845413142110601</v>
      </c>
      <c r="BO32">
        <v>1.4457934854470693</v>
      </c>
      <c r="BP32">
        <v>3.8450352313331706</v>
      </c>
      <c r="BQ32">
        <v>2.5152587549829093</v>
      </c>
    </row>
    <row r="33" spans="1:69" hidden="1" x14ac:dyDescent="0.2">
      <c r="A33" t="s">
        <v>127</v>
      </c>
      <c r="B33" t="s">
        <v>128</v>
      </c>
      <c r="C33" t="s">
        <v>71</v>
      </c>
      <c r="D33" t="s">
        <v>72</v>
      </c>
      <c r="F33">
        <v>6.5481733115432235</v>
      </c>
      <c r="G33">
        <v>3.5614710529410019</v>
      </c>
      <c r="H33">
        <v>0.82421466977831415</v>
      </c>
      <c r="I33">
        <v>8.3859430546106637</v>
      </c>
      <c r="J33">
        <v>5.8910251747630298</v>
      </c>
      <c r="K33">
        <v>3.3158764278455664</v>
      </c>
      <c r="L33">
        <v>6.2324586169217042</v>
      </c>
      <c r="M33">
        <v>4.5884842366629783</v>
      </c>
      <c r="N33">
        <v>3.7190082668172408</v>
      </c>
      <c r="O33">
        <v>3.9605611438355766</v>
      </c>
      <c r="P33">
        <v>2.5386322629741755</v>
      </c>
      <c r="Q33">
        <v>18.977748804716583</v>
      </c>
      <c r="R33">
        <v>42.944509090020176</v>
      </c>
      <c r="S33">
        <v>61.545960467460105</v>
      </c>
      <c r="T33">
        <v>6.6952776536876257</v>
      </c>
      <c r="U33">
        <v>8.5989208742604006</v>
      </c>
      <c r="V33">
        <v>12.54061842900343</v>
      </c>
      <c r="W33">
        <v>14.103810808938448</v>
      </c>
      <c r="X33">
        <v>19.797173638982457</v>
      </c>
      <c r="Y33">
        <v>25.048717768645901</v>
      </c>
      <c r="Z33">
        <v>29.486094119097658</v>
      </c>
      <c r="AA33">
        <v>158.28333328168725</v>
      </c>
      <c r="AB33">
        <v>265.19766809775166</v>
      </c>
      <c r="AC33">
        <v>1443.3971362925483</v>
      </c>
      <c r="AD33">
        <v>12338.660141290378</v>
      </c>
      <c r="AE33">
        <v>230.10522229758317</v>
      </c>
      <c r="AF33">
        <v>14.584193820585625</v>
      </c>
      <c r="AG33">
        <v>17.523337098345522</v>
      </c>
      <c r="AH33">
        <v>13.186421272353925</v>
      </c>
      <c r="AI33">
        <v>16.267941983021842</v>
      </c>
      <c r="AJ33">
        <v>17.689440220316683</v>
      </c>
      <c r="AK33">
        <v>13.19920440951492</v>
      </c>
      <c r="AL33">
        <v>6.5571581914608998</v>
      </c>
      <c r="AM33">
        <v>7.9522077250966845</v>
      </c>
      <c r="AN33">
        <v>11.427281710448511</v>
      </c>
      <c r="AO33">
        <v>11.580206869393422</v>
      </c>
      <c r="AP33">
        <v>5.7050433582233921</v>
      </c>
      <c r="AQ33">
        <v>7.0511267653363205</v>
      </c>
      <c r="AR33">
        <v>2.4115658890652867</v>
      </c>
      <c r="AS33">
        <v>5.1954052080175188</v>
      </c>
      <c r="AT33">
        <v>1.8700936577675122</v>
      </c>
      <c r="AU33">
        <v>2.8207573973461564</v>
      </c>
      <c r="AV33">
        <v>6.3299922925248495</v>
      </c>
      <c r="AW33">
        <v>7.9677095092426811</v>
      </c>
      <c r="AX33">
        <v>5.9407976302192793</v>
      </c>
      <c r="AY33">
        <v>13.663679540354252</v>
      </c>
      <c r="AZ33">
        <v>7.3733538611183889</v>
      </c>
      <c r="BA33">
        <v>10.381181762674998</v>
      </c>
      <c r="BB33">
        <v>-2.4198943282750207</v>
      </c>
      <c r="BC33">
        <v>8.7775081155452312</v>
      </c>
      <c r="BD33">
        <v>14.602354240066532</v>
      </c>
      <c r="BE33">
        <v>7.1002755011505769</v>
      </c>
      <c r="BF33">
        <v>5.9953883685492428</v>
      </c>
      <c r="BG33">
        <v>2.0494977256046809</v>
      </c>
      <c r="BH33">
        <v>-4.6206022584563158</v>
      </c>
      <c r="BI33">
        <v>-1.3548705805901733</v>
      </c>
      <c r="BJ33">
        <v>6.0613999621843533</v>
      </c>
      <c r="BK33">
        <v>3.0562657534529905</v>
      </c>
      <c r="BL33">
        <v>-0.69300327175534449</v>
      </c>
      <c r="BM33">
        <v>-1.8543866829455027</v>
      </c>
      <c r="BN33">
        <v>3.9561196853251204</v>
      </c>
      <c r="BO33">
        <v>5.1244644318250892</v>
      </c>
      <c r="BP33">
        <v>-0.50525041703653528</v>
      </c>
      <c r="BQ33">
        <v>8.5399567157337088</v>
      </c>
    </row>
    <row r="34" spans="1:69" hidden="1" x14ac:dyDescent="0.2">
      <c r="A34" t="s">
        <v>129</v>
      </c>
      <c r="B34" t="s">
        <v>130</v>
      </c>
      <c r="C34" t="s">
        <v>71</v>
      </c>
      <c r="D34" t="s">
        <v>72</v>
      </c>
      <c r="F34">
        <v>34.617804941998145</v>
      </c>
      <c r="G34">
        <v>50.249454480788899</v>
      </c>
      <c r="H34">
        <v>78.417433456105357</v>
      </c>
      <c r="I34">
        <v>89.533665326828697</v>
      </c>
      <c r="J34">
        <v>58.933184200045417</v>
      </c>
      <c r="K34">
        <v>37.936097957349403</v>
      </c>
      <c r="L34">
        <v>26.528941929666018</v>
      </c>
      <c r="M34">
        <v>26.706716362749262</v>
      </c>
      <c r="N34">
        <v>20.051784231148062</v>
      </c>
      <c r="O34">
        <v>16.255111540218763</v>
      </c>
      <c r="P34">
        <v>19.384585113433388</v>
      </c>
      <c r="Q34">
        <v>19.867091675533956</v>
      </c>
      <c r="R34">
        <v>29.58035669693939</v>
      </c>
      <c r="S34">
        <v>34.60585499646146</v>
      </c>
      <c r="T34">
        <v>33.929436741891664</v>
      </c>
      <c r="U34">
        <v>41.203624016175354</v>
      </c>
      <c r="V34">
        <v>45.398056214550905</v>
      </c>
      <c r="W34">
        <v>38.227611227227015</v>
      </c>
      <c r="X34">
        <v>54.365960027812008</v>
      </c>
      <c r="Y34">
        <v>92.141944610903948</v>
      </c>
      <c r="Z34">
        <v>100.52887712188868</v>
      </c>
      <c r="AA34">
        <v>101.03439474572053</v>
      </c>
      <c r="AB34">
        <v>131.48404505720248</v>
      </c>
      <c r="AC34">
        <v>201.74028213339705</v>
      </c>
      <c r="AD34">
        <v>248.54365912592067</v>
      </c>
      <c r="AE34">
        <v>149.1793182896977</v>
      </c>
      <c r="AF34">
        <v>206.208708657138</v>
      </c>
      <c r="AG34">
        <v>627.95147020427419</v>
      </c>
      <c r="AH34">
        <v>1304.424209434851</v>
      </c>
      <c r="AI34">
        <v>2736.9706776883077</v>
      </c>
      <c r="AJ34">
        <v>416.678093932004</v>
      </c>
      <c r="AK34">
        <v>969.01296283996157</v>
      </c>
      <c r="AL34">
        <v>1996.1502471771937</v>
      </c>
      <c r="AM34">
        <v>2240.1688662319766</v>
      </c>
      <c r="AN34">
        <v>93.978043055136652</v>
      </c>
      <c r="AO34">
        <v>18.456243768767337</v>
      </c>
      <c r="AP34">
        <v>7.7290234118441106</v>
      </c>
      <c r="AQ34">
        <v>4.9243615848878761</v>
      </c>
      <c r="AR34">
        <v>8.0105008831071984</v>
      </c>
      <c r="AS34">
        <v>5.6060651408573534</v>
      </c>
      <c r="AT34">
        <v>8.2250943212563072</v>
      </c>
      <c r="AU34">
        <v>9.7981122375597494</v>
      </c>
      <c r="AV34">
        <v>14.091021523039359</v>
      </c>
      <c r="AW34">
        <v>7.7520607632126683</v>
      </c>
      <c r="AX34">
        <v>7.4312247574779349</v>
      </c>
      <c r="AY34">
        <v>6.7742740876249172</v>
      </c>
      <c r="AZ34">
        <v>6.4390381057073114</v>
      </c>
      <c r="BA34">
        <v>8.7785527281753133</v>
      </c>
      <c r="BB34">
        <v>7.3134827429402804</v>
      </c>
      <c r="BC34">
        <v>8.4233383376043633</v>
      </c>
      <c r="BD34">
        <v>8.3185922219200847</v>
      </c>
      <c r="BE34">
        <v>7.9431269348526143</v>
      </c>
      <c r="BF34">
        <v>7.5045645337957581</v>
      </c>
      <c r="BG34">
        <v>7.846709751619187</v>
      </c>
      <c r="BH34">
        <v>7.5661750066890789</v>
      </c>
      <c r="BI34">
        <v>8.1036043761816927</v>
      </c>
      <c r="BJ34">
        <v>3.6713845027491914</v>
      </c>
      <c r="BK34">
        <v>4.4935343282916023</v>
      </c>
      <c r="BL34">
        <v>4.2242588634270817</v>
      </c>
      <c r="BM34">
        <v>6.4724996231572618</v>
      </c>
      <c r="BN34">
        <v>13.047270860138767</v>
      </c>
      <c r="BO34">
        <v>8.5702819616561641</v>
      </c>
      <c r="BP34">
        <v>5.159501073770187</v>
      </c>
      <c r="BQ34">
        <v>3.7980140802507805</v>
      </c>
    </row>
    <row r="35" spans="1:69" hidden="1" x14ac:dyDescent="0.2">
      <c r="A35" t="s">
        <v>131</v>
      </c>
      <c r="B35" t="s">
        <v>132</v>
      </c>
      <c r="C35" t="s">
        <v>71</v>
      </c>
      <c r="D35" t="s">
        <v>72</v>
      </c>
      <c r="F35">
        <v>-0.94799926978103599</v>
      </c>
      <c r="G35">
        <v>-4.6357206413605923</v>
      </c>
      <c r="H35">
        <v>18.534735201055355</v>
      </c>
      <c r="I35">
        <v>-5.3774524989538008</v>
      </c>
      <c r="J35">
        <v>-5.0452276980893629</v>
      </c>
      <c r="K35">
        <v>3.6334666820433199</v>
      </c>
      <c r="L35">
        <v>1.647356023905715</v>
      </c>
      <c r="M35">
        <v>7.7730420109187008</v>
      </c>
      <c r="N35">
        <v>4.590911056294388</v>
      </c>
      <c r="O35">
        <v>7.3440367511836229</v>
      </c>
      <c r="P35">
        <v>6.8124601696351874</v>
      </c>
      <c r="Q35">
        <v>9.8933033475460803</v>
      </c>
      <c r="R35">
        <v>22.774134318731626</v>
      </c>
      <c r="S35">
        <v>31.421394261468208</v>
      </c>
      <c r="T35">
        <v>29.360728428629329</v>
      </c>
      <c r="U35">
        <v>3.0209825596346604</v>
      </c>
      <c r="V35">
        <v>9.7503357565394566</v>
      </c>
      <c r="W35">
        <v>6.7175061743193396</v>
      </c>
      <c r="X35">
        <v>12.378333445183003</v>
      </c>
      <c r="Y35">
        <v>44.678102048781199</v>
      </c>
      <c r="Z35">
        <v>12.200289032481692</v>
      </c>
      <c r="AA35">
        <v>9.8457670839302978</v>
      </c>
      <c r="AB35">
        <v>5.6642886589590518</v>
      </c>
      <c r="AC35">
        <v>5.1832431013404658</v>
      </c>
      <c r="AD35">
        <v>3.5143272425250132</v>
      </c>
      <c r="AE35">
        <v>4.4734951573405226</v>
      </c>
      <c r="AF35">
        <v>7.3377701923827487</v>
      </c>
      <c r="AG35">
        <v>2.7573551147413298</v>
      </c>
      <c r="AH35">
        <v>6.8235777506211264</v>
      </c>
      <c r="AI35">
        <v>3.7283083547377913</v>
      </c>
      <c r="AJ35">
        <v>4.495283010616788</v>
      </c>
      <c r="AK35">
        <v>2.1223937980273178</v>
      </c>
      <c r="AL35">
        <v>5.1953661480492457</v>
      </c>
      <c r="AM35">
        <v>2.2098425618610094</v>
      </c>
      <c r="AN35">
        <v>1.0161490396644268</v>
      </c>
      <c r="AO35">
        <v>2.5384172069345965</v>
      </c>
      <c r="AP35">
        <v>0.91689754928943046</v>
      </c>
      <c r="AQ35">
        <v>8.7032567770325358</v>
      </c>
      <c r="AR35">
        <v>4.4334228616492055</v>
      </c>
      <c r="AS35">
        <v>-1.3228391555781798</v>
      </c>
      <c r="AT35">
        <v>2.2553897180314095</v>
      </c>
      <c r="AU35">
        <v>0.90785577849774768</v>
      </c>
      <c r="AV35">
        <v>1.1158721425361477</v>
      </c>
      <c r="AW35">
        <v>5.8281444791623329</v>
      </c>
      <c r="AX35">
        <v>6.6677249634657727</v>
      </c>
      <c r="AY35">
        <v>4.0963701668804902</v>
      </c>
      <c r="AZ35">
        <v>8.6122611113155472</v>
      </c>
      <c r="BA35">
        <v>1.8069353479081229</v>
      </c>
      <c r="BB35">
        <v>-1.8297050118453342</v>
      </c>
      <c r="BC35">
        <v>18.852728992136079</v>
      </c>
      <c r="BD35">
        <v>3.6669404193289949</v>
      </c>
      <c r="BE35">
        <v>-1.0175418358201398</v>
      </c>
      <c r="BF35">
        <v>2.7435941498574294</v>
      </c>
      <c r="BG35">
        <v>7.4635384447390152E-3</v>
      </c>
      <c r="BH35">
        <v>-0.61116512696651171</v>
      </c>
      <c r="BI35">
        <v>-0.96705070968636164</v>
      </c>
      <c r="BJ35">
        <v>3.3672719711288721</v>
      </c>
      <c r="BK35">
        <v>3.2526521777790833</v>
      </c>
      <c r="BL35">
        <v>2.1464472750150065</v>
      </c>
      <c r="BM35">
        <v>5.113921992277298</v>
      </c>
      <c r="BN35">
        <v>2.329218751432947</v>
      </c>
      <c r="BO35">
        <v>0.66497697647382381</v>
      </c>
      <c r="BP35">
        <v>3.1821298072011643</v>
      </c>
      <c r="BQ35">
        <v>2.7075062877323717</v>
      </c>
    </row>
    <row r="36" spans="1:69" hidden="1" x14ac:dyDescent="0.2">
      <c r="A36" t="s">
        <v>133</v>
      </c>
      <c r="B36" t="s">
        <v>134</v>
      </c>
      <c r="C36" t="s">
        <v>71</v>
      </c>
      <c r="D36" t="s">
        <v>72</v>
      </c>
      <c r="T36">
        <v>5.4084125087983068</v>
      </c>
      <c r="U36">
        <v>5.4836791323240135</v>
      </c>
      <c r="V36">
        <v>8.2237098659082761</v>
      </c>
      <c r="W36">
        <v>-2.9746800408401981</v>
      </c>
      <c r="X36">
        <v>13.368568932945209</v>
      </c>
      <c r="Y36">
        <v>94.772466547848296</v>
      </c>
      <c r="Z36">
        <v>10.306550661677221</v>
      </c>
      <c r="AA36">
        <v>-5.5834292983970926</v>
      </c>
      <c r="AB36">
        <v>-12.714364331878784</v>
      </c>
      <c r="AC36">
        <v>-0.43974375116272313</v>
      </c>
      <c r="AD36">
        <v>-3.0251307561665328</v>
      </c>
      <c r="AE36">
        <v>-37.079860633031259</v>
      </c>
      <c r="AF36">
        <v>11.199768258233149</v>
      </c>
      <c r="AG36">
        <v>-10.507401168466174</v>
      </c>
      <c r="AH36">
        <v>9.4792838776205883</v>
      </c>
      <c r="AI36">
        <v>9.7355698596295497</v>
      </c>
      <c r="AJ36">
        <v>-3.6334054829831928</v>
      </c>
      <c r="AK36">
        <v>-1.9959714919517779</v>
      </c>
      <c r="AL36">
        <v>-2.1423070700096929</v>
      </c>
      <c r="AM36">
        <v>-2.4067437987093996</v>
      </c>
      <c r="AN36">
        <v>9.0060886515357197</v>
      </c>
      <c r="AO36">
        <v>-0.96539490356536817</v>
      </c>
      <c r="AP36">
        <v>0.69585430230225143</v>
      </c>
      <c r="AQ36">
        <v>-13.988990022002184</v>
      </c>
      <c r="AR36">
        <v>10.405818046433325</v>
      </c>
      <c r="AS36">
        <v>2.3767203524594578</v>
      </c>
      <c r="AT36">
        <v>-4.9730526770104859</v>
      </c>
      <c r="AU36">
        <v>-0.13538414956765621</v>
      </c>
      <c r="AV36">
        <v>6.3099705277005711</v>
      </c>
      <c r="AW36">
        <v>16.541953080195483</v>
      </c>
      <c r="AX36">
        <v>20.503615849357587</v>
      </c>
      <c r="AY36">
        <v>9.9443522285925781</v>
      </c>
      <c r="AZ36">
        <v>4.6968885457066705</v>
      </c>
      <c r="BA36">
        <v>16.020766961296303</v>
      </c>
      <c r="BB36">
        <v>-21.739266317148875</v>
      </c>
      <c r="BC36">
        <v>4.9800895650971881</v>
      </c>
      <c r="BD36">
        <v>20.18076868462839</v>
      </c>
      <c r="BE36">
        <v>1.2202519790419899</v>
      </c>
      <c r="BF36">
        <v>-2.8234895271391167</v>
      </c>
      <c r="BG36">
        <v>-1.8460154235559401</v>
      </c>
      <c r="BH36">
        <v>-17.612743241263431</v>
      </c>
      <c r="BI36">
        <v>-9.1694951364625865</v>
      </c>
      <c r="BJ36">
        <v>4.9552686823228385</v>
      </c>
      <c r="BK36">
        <v>9.2156248153434319</v>
      </c>
      <c r="BL36">
        <v>-3.3337276483038067</v>
      </c>
      <c r="BM36">
        <v>-10.863759499400032</v>
      </c>
      <c r="BN36">
        <v>15.465928436394492</v>
      </c>
      <c r="BO36">
        <v>24.23672668028756</v>
      </c>
      <c r="BP36">
        <v>-12.847251437446317</v>
      </c>
      <c r="BQ36">
        <v>-2.2069463883706106</v>
      </c>
    </row>
    <row r="37" spans="1:69" hidden="1" x14ac:dyDescent="0.2">
      <c r="A37" t="s">
        <v>135</v>
      </c>
      <c r="B37" t="s">
        <v>136</v>
      </c>
      <c r="C37" t="s">
        <v>71</v>
      </c>
      <c r="D37" t="s">
        <v>72</v>
      </c>
      <c r="P37">
        <v>4.4584443265893299</v>
      </c>
      <c r="Q37">
        <v>5.8979337106808742</v>
      </c>
      <c r="R37">
        <v>13.017697008947167</v>
      </c>
      <c r="S37">
        <v>17.17032964078598</v>
      </c>
      <c r="T37">
        <v>-7.6863878097924498E-2</v>
      </c>
      <c r="U37">
        <v>4.162247326438262E-2</v>
      </c>
      <c r="V37">
        <v>1.0759404281984075E-2</v>
      </c>
      <c r="W37">
        <v>-15.878063029750905</v>
      </c>
      <c r="X37">
        <v>6.0061839753391411</v>
      </c>
      <c r="Y37">
        <v>12.517177775187548</v>
      </c>
      <c r="Z37">
        <v>3.4625552706883695</v>
      </c>
      <c r="AA37">
        <v>7.2871491917640725</v>
      </c>
      <c r="AB37">
        <v>7.1583594274970324</v>
      </c>
      <c r="AC37">
        <v>10.16368899322228</v>
      </c>
      <c r="AD37">
        <v>6.5086147454451009</v>
      </c>
      <c r="AE37">
        <v>7.1854378749672634</v>
      </c>
      <c r="AF37">
        <v>1.1011726823489028</v>
      </c>
      <c r="AG37">
        <v>14.964871833033499</v>
      </c>
      <c r="AH37">
        <v>5.6079153760183686</v>
      </c>
      <c r="AI37">
        <v>6.2053530725181503</v>
      </c>
      <c r="AJ37">
        <v>8.9412844318234903</v>
      </c>
      <c r="AK37">
        <v>8.9232894978960644</v>
      </c>
      <c r="AL37">
        <v>8.513450795567266</v>
      </c>
      <c r="AM37">
        <v>12.341255026421464</v>
      </c>
      <c r="AN37">
        <v>8.2843825811440297</v>
      </c>
      <c r="AO37">
        <v>8.112632793854786</v>
      </c>
      <c r="AP37">
        <v>12.906874830909558</v>
      </c>
      <c r="AQ37">
        <v>10.696267099060037</v>
      </c>
      <c r="AR37">
        <v>6.1702590840434937</v>
      </c>
      <c r="AS37">
        <v>16.52714658169559</v>
      </c>
      <c r="AT37">
        <v>5.3373306335889197</v>
      </c>
      <c r="AU37">
        <v>5.1651928494626844</v>
      </c>
      <c r="AV37">
        <v>3.6243063582448229</v>
      </c>
      <c r="AW37">
        <v>4.3458815235211574</v>
      </c>
      <c r="AX37">
        <v>6.4792024013922429</v>
      </c>
      <c r="AY37">
        <v>6.5751238535145973</v>
      </c>
      <c r="AZ37">
        <v>4.6881779144297724</v>
      </c>
      <c r="BA37">
        <v>5.6061808250588854</v>
      </c>
      <c r="BB37">
        <v>4.424099434461553</v>
      </c>
      <c r="BC37">
        <v>8.3269624150468928</v>
      </c>
      <c r="BD37">
        <v>8.8802059212654427</v>
      </c>
      <c r="BE37">
        <v>8.6367934564089808</v>
      </c>
      <c r="BF37">
        <v>6.1641315981081846</v>
      </c>
      <c r="BG37">
        <v>5.7222288197541928</v>
      </c>
      <c r="BH37">
        <v>3.2097772744531738</v>
      </c>
      <c r="BI37">
        <v>4.048912993479334</v>
      </c>
      <c r="BJ37">
        <v>4.34963395866464</v>
      </c>
      <c r="BK37">
        <v>1.1508627637055753</v>
      </c>
      <c r="BL37">
        <v>3.1080083741491364</v>
      </c>
      <c r="BM37">
        <v>5.2873743134946665</v>
      </c>
      <c r="BN37">
        <v>7.6280134305892773</v>
      </c>
      <c r="BO37">
        <v>5.7948551697978274</v>
      </c>
      <c r="BP37">
        <v>4.3740619721114484</v>
      </c>
    </row>
    <row r="38" spans="1:69" hidden="1" x14ac:dyDescent="0.2">
      <c r="A38" t="s">
        <v>137</v>
      </c>
      <c r="B38" t="s">
        <v>138</v>
      </c>
      <c r="C38" t="s">
        <v>71</v>
      </c>
      <c r="D38" t="s">
        <v>72</v>
      </c>
      <c r="F38">
        <v>1.933946545733221</v>
      </c>
      <c r="G38">
        <v>1.3607353051186664</v>
      </c>
      <c r="H38">
        <v>1.1768267686033766</v>
      </c>
      <c r="I38">
        <v>2.5474988801788498</v>
      </c>
      <c r="J38">
        <v>3.846275631394974</v>
      </c>
      <c r="K38">
        <v>5.7887419962029441</v>
      </c>
      <c r="L38">
        <v>7.5815510839407807</v>
      </c>
      <c r="M38">
        <v>2.1661494468963269</v>
      </c>
      <c r="N38">
        <v>1.5843552372739822</v>
      </c>
      <c r="O38">
        <v>5.978593381894953</v>
      </c>
      <c r="P38">
        <v>4.6641800352153808</v>
      </c>
      <c r="Q38">
        <v>10.775422185534225</v>
      </c>
      <c r="R38">
        <v>9.9066123360816505</v>
      </c>
      <c r="S38">
        <v>12.796924146025958</v>
      </c>
      <c r="T38">
        <v>16.467281863099586</v>
      </c>
      <c r="U38">
        <v>11.315529884901693</v>
      </c>
      <c r="V38">
        <v>4.9373833072468614</v>
      </c>
      <c r="W38">
        <v>12.466811356358193</v>
      </c>
      <c r="X38">
        <v>21.856361739427157</v>
      </c>
      <c r="Y38">
        <v>10.190282529516324</v>
      </c>
      <c r="Z38">
        <v>-8.832283773256222E-2</v>
      </c>
      <c r="AA38">
        <v>3.6954183734667225</v>
      </c>
      <c r="AB38">
        <v>8.7454853967428932</v>
      </c>
      <c r="AC38">
        <v>15.426985065621594</v>
      </c>
      <c r="AD38">
        <v>22.893659434028351</v>
      </c>
      <c r="AE38">
        <v>14.061249875400051</v>
      </c>
      <c r="AF38">
        <v>12.694069824178754</v>
      </c>
      <c r="AG38">
        <v>22.697059567287496</v>
      </c>
      <c r="AH38">
        <v>13.648777260206032</v>
      </c>
      <c r="AI38">
        <v>6.3000182834092726</v>
      </c>
      <c r="AJ38">
        <v>5.177709936955992</v>
      </c>
      <c r="AK38">
        <v>6.6392808535534726</v>
      </c>
      <c r="AL38">
        <v>13.064700488920906</v>
      </c>
      <c r="AM38">
        <v>9.4638047015894244</v>
      </c>
      <c r="AN38">
        <v>7.1552948525345244</v>
      </c>
      <c r="AO38">
        <v>16.112195448809103</v>
      </c>
      <c r="AP38">
        <v>4.9906084877987098</v>
      </c>
      <c r="AQ38">
        <v>9.9672708188165586</v>
      </c>
      <c r="AR38">
        <v>14.235208494516911</v>
      </c>
      <c r="AS38">
        <v>14.170966914369743</v>
      </c>
      <c r="AT38">
        <v>8.3128249995129835</v>
      </c>
      <c r="AU38">
        <v>1.1873706961312109</v>
      </c>
      <c r="AV38">
        <v>3.2590843720066403</v>
      </c>
      <c r="AW38">
        <v>10.078788653573099</v>
      </c>
      <c r="AX38">
        <v>15.471706569310513</v>
      </c>
      <c r="AY38">
        <v>5.1543983602336993</v>
      </c>
      <c r="AZ38">
        <v>6.0291976506440221</v>
      </c>
      <c r="BA38">
        <v>9.3727302556346785</v>
      </c>
      <c r="BB38">
        <v>15.108933748083885</v>
      </c>
      <c r="BC38">
        <v>7.6854922364130545</v>
      </c>
      <c r="BD38">
        <v>12.653447321083092</v>
      </c>
      <c r="BE38">
        <v>3.0117965720986746</v>
      </c>
      <c r="BF38">
        <v>1.5320450566209729</v>
      </c>
      <c r="BG38">
        <v>9.601547879295012</v>
      </c>
      <c r="BH38">
        <v>3.7303058258556803</v>
      </c>
      <c r="BI38">
        <v>11.904911131819773</v>
      </c>
      <c r="BJ38">
        <v>-2.6499332054344364</v>
      </c>
      <c r="BK38">
        <v>5.6621868512053197E-2</v>
      </c>
      <c r="BL38">
        <v>0.50800412417373764</v>
      </c>
      <c r="BM38">
        <v>4.3788668059320912</v>
      </c>
      <c r="BN38">
        <v>8.3815438623447136</v>
      </c>
      <c r="BO38">
        <v>14.617676728393647</v>
      </c>
      <c r="BP38">
        <v>1.7390038647115489</v>
      </c>
      <c r="BQ38">
        <v>2.7743510309116743</v>
      </c>
    </row>
    <row r="39" spans="1:69" hidden="1" x14ac:dyDescent="0.2">
      <c r="A39" t="s">
        <v>139</v>
      </c>
      <c r="B39" t="s">
        <v>140</v>
      </c>
      <c r="C39" t="s">
        <v>71</v>
      </c>
      <c r="D39" t="s">
        <v>72</v>
      </c>
      <c r="F39">
        <v>4.6350185240748658</v>
      </c>
      <c r="G39">
        <v>4.888746868446475</v>
      </c>
      <c r="H39">
        <v>4.6744757013083671</v>
      </c>
      <c r="I39">
        <v>7.541971050155567</v>
      </c>
      <c r="J39">
        <v>5.039138701216018</v>
      </c>
      <c r="K39">
        <v>4.4754110484231688</v>
      </c>
      <c r="L39">
        <v>-0.77441722977236793</v>
      </c>
      <c r="M39">
        <v>16.172401060856643</v>
      </c>
      <c r="N39">
        <v>-3.8526877131945412</v>
      </c>
      <c r="O39">
        <v>4.4908796996803204</v>
      </c>
      <c r="P39">
        <v>4.938268289352024</v>
      </c>
      <c r="Q39">
        <v>4.644237089154629</v>
      </c>
      <c r="R39">
        <v>2.1994902624130361</v>
      </c>
      <c r="S39">
        <v>5.3809997048427363</v>
      </c>
      <c r="T39">
        <v>19.326216214398826</v>
      </c>
      <c r="U39">
        <v>25.996626930293189</v>
      </c>
      <c r="V39">
        <v>11.372462820627362</v>
      </c>
      <c r="W39">
        <v>9.2283937020651621</v>
      </c>
      <c r="X39">
        <v>10.926633977119522</v>
      </c>
      <c r="Y39">
        <v>18.265379171328703</v>
      </c>
      <c r="Z39">
        <v>13.872746051440686</v>
      </c>
      <c r="AA39">
        <v>20.914234048974365</v>
      </c>
      <c r="AB39">
        <v>11.1028813560158</v>
      </c>
      <c r="AC39">
        <v>1.4194010649594304</v>
      </c>
      <c r="AD39">
        <v>34.145175351476837</v>
      </c>
      <c r="AE39">
        <v>-3.4290372281515147</v>
      </c>
      <c r="AF39">
        <v>-2.3033511827736106</v>
      </c>
      <c r="AG39">
        <v>2.6240559401543777</v>
      </c>
      <c r="AH39">
        <v>2.4562048001599806</v>
      </c>
      <c r="AI39">
        <v>1.8366451056468662</v>
      </c>
      <c r="AJ39">
        <v>-0.38981560754078259</v>
      </c>
      <c r="AK39">
        <v>2.7826470224393773</v>
      </c>
      <c r="AL39">
        <v>-3.4330203176627947</v>
      </c>
      <c r="AM39">
        <v>24.412569682152878</v>
      </c>
      <c r="AN39">
        <v>9.8979758583015922</v>
      </c>
      <c r="AO39">
        <v>-3.5430457329538854</v>
      </c>
      <c r="AP39">
        <v>0.8233810006473874</v>
      </c>
      <c r="AQ39">
        <v>-0.41415409498235078</v>
      </c>
      <c r="AR39">
        <v>4.0847154897584375</v>
      </c>
      <c r="AS39">
        <v>8.5066010783455965</v>
      </c>
      <c r="AT39">
        <v>0.4259386750092915</v>
      </c>
      <c r="AU39">
        <v>-2.3718817057485353</v>
      </c>
      <c r="AV39">
        <v>1.3364186314078381</v>
      </c>
      <c r="AW39">
        <v>-4.4397859383637268</v>
      </c>
      <c r="AX39">
        <v>4.1884370815938468</v>
      </c>
      <c r="AY39">
        <v>3.3340459386906929</v>
      </c>
      <c r="AZ39">
        <v>1.8382316504233671</v>
      </c>
      <c r="BA39">
        <v>7.0770707236142272</v>
      </c>
      <c r="BB39">
        <v>0.7116283907541856</v>
      </c>
      <c r="BC39">
        <v>4.2113093109751105</v>
      </c>
      <c r="BD39">
        <v>4.0091150571005159</v>
      </c>
      <c r="BE39">
        <v>6.1810361769261561</v>
      </c>
      <c r="BF39">
        <v>2.4874867776006653</v>
      </c>
      <c r="BG39">
        <v>11.893803301677679</v>
      </c>
      <c r="BH39">
        <v>2.7082631078528152</v>
      </c>
      <c r="BI39">
        <v>2.9801140844553373</v>
      </c>
      <c r="BJ39">
        <v>6.4437062877952513</v>
      </c>
      <c r="BK39">
        <v>-1.224117158457048</v>
      </c>
      <c r="BL39">
        <v>2.3278370514064193</v>
      </c>
      <c r="BM39">
        <v>1.9821605562778473</v>
      </c>
      <c r="BN39">
        <v>3.185766469003525</v>
      </c>
      <c r="BO39">
        <v>6.0187787673850153</v>
      </c>
      <c r="BP39">
        <v>3.5748017092498401</v>
      </c>
      <c r="BQ39">
        <v>5.9999553993377788</v>
      </c>
    </row>
    <row r="40" spans="1:69" hidden="1" x14ac:dyDescent="0.2">
      <c r="A40" t="s">
        <v>141</v>
      </c>
      <c r="B40" t="s">
        <v>142</v>
      </c>
      <c r="C40" t="s">
        <v>71</v>
      </c>
      <c r="D40" t="s">
        <v>72</v>
      </c>
      <c r="F40">
        <v>2.4444270798042282</v>
      </c>
      <c r="G40">
        <v>1.3098742102376235</v>
      </c>
      <c r="H40">
        <v>2.1822267673882152</v>
      </c>
      <c r="I40">
        <v>2.8318191744924235</v>
      </c>
      <c r="J40">
        <v>3.7750322694121223</v>
      </c>
      <c r="K40">
        <v>4.9209043503957162</v>
      </c>
      <c r="L40">
        <v>4.4541388372290669</v>
      </c>
      <c r="M40">
        <v>4.0651339664907766</v>
      </c>
      <c r="N40">
        <v>4.8267827769719105</v>
      </c>
      <c r="O40">
        <v>4.7220140023282084</v>
      </c>
      <c r="P40">
        <v>4.9314398218923685</v>
      </c>
      <c r="Q40">
        <v>5.8260441160570906</v>
      </c>
      <c r="R40">
        <v>9.9288066513810946</v>
      </c>
      <c r="S40">
        <v>15.569480017987416</v>
      </c>
      <c r="T40">
        <v>10.997734554485078</v>
      </c>
      <c r="U40">
        <v>8.7834263828508341</v>
      </c>
      <c r="V40">
        <v>6.717535180785589</v>
      </c>
      <c r="W40">
        <v>6.8265945986672989</v>
      </c>
      <c r="X40">
        <v>10.070050520109561</v>
      </c>
      <c r="Y40">
        <v>10.055889684216623</v>
      </c>
      <c r="Z40">
        <v>10.870957423493195</v>
      </c>
      <c r="AA40">
        <v>8.8270783493787093</v>
      </c>
      <c r="AB40">
        <v>5.8244750602940627</v>
      </c>
      <c r="AC40">
        <v>3.5453902864670823</v>
      </c>
      <c r="AD40">
        <v>3.3383891682728262</v>
      </c>
      <c r="AE40">
        <v>3.1323790484138812</v>
      </c>
      <c r="AF40">
        <v>4.7916014313895232</v>
      </c>
      <c r="AG40">
        <v>4.5399982412587008</v>
      </c>
      <c r="AH40">
        <v>4.68125322876962</v>
      </c>
      <c r="AI40">
        <v>3.3523017131774822</v>
      </c>
      <c r="AJ40">
        <v>3.0567698104218408</v>
      </c>
      <c r="AK40">
        <v>1.4708509083245787</v>
      </c>
      <c r="AL40">
        <v>1.2890428502276876</v>
      </c>
      <c r="AM40">
        <v>1.4556309104514042</v>
      </c>
      <c r="AN40">
        <v>2.2633258070125635</v>
      </c>
      <c r="AO40">
        <v>1.6752750024398892</v>
      </c>
      <c r="AP40">
        <v>1.144128332250375</v>
      </c>
      <c r="AQ40">
        <v>-0.17622526928147408</v>
      </c>
      <c r="AR40">
        <v>1.9238555864148168</v>
      </c>
      <c r="AS40">
        <v>4.3741990363233185</v>
      </c>
      <c r="AT40">
        <v>1.5736767919253083</v>
      </c>
      <c r="AU40">
        <v>1.2575234546449821</v>
      </c>
      <c r="AV40">
        <v>3.2497370189635006</v>
      </c>
      <c r="AW40">
        <v>3.2608738899192531</v>
      </c>
      <c r="AX40">
        <v>3.1166384707841672</v>
      </c>
      <c r="AY40">
        <v>2.5701727249648627</v>
      </c>
      <c r="AZ40">
        <v>3.3005456177328938</v>
      </c>
      <c r="BA40">
        <v>3.996316464541664</v>
      </c>
      <c r="BB40">
        <v>-2.3249220964198969</v>
      </c>
      <c r="BC40">
        <v>2.8486377956180178</v>
      </c>
      <c r="BD40">
        <v>3.2444551435018525</v>
      </c>
      <c r="BE40">
        <v>1.2184437411591205</v>
      </c>
      <c r="BF40">
        <v>1.7407379314567777</v>
      </c>
      <c r="BG40">
        <v>1.9411989715329554</v>
      </c>
      <c r="BH40">
        <v>-0.86765132022811997</v>
      </c>
      <c r="BI40">
        <v>0.71697815063822645</v>
      </c>
      <c r="BJ40">
        <v>2.5710146449006857</v>
      </c>
      <c r="BK40">
        <v>1.6511181804358586</v>
      </c>
      <c r="BL40">
        <v>1.5460707339358066</v>
      </c>
      <c r="BM40">
        <v>1.0708102610562236</v>
      </c>
      <c r="BN40">
        <v>7.7850201107468422</v>
      </c>
      <c r="BO40">
        <v>7.9067621307732594</v>
      </c>
      <c r="BP40">
        <v>1.3572659269347014</v>
      </c>
      <c r="BQ40">
        <v>3.0363176945492114</v>
      </c>
    </row>
    <row r="41" spans="1:69" hidden="1" x14ac:dyDescent="0.2">
      <c r="A41" t="s">
        <v>143</v>
      </c>
      <c r="B41" t="s">
        <v>144</v>
      </c>
      <c r="C41" t="s">
        <v>71</v>
      </c>
      <c r="D41" t="s">
        <v>72</v>
      </c>
      <c r="AJ41">
        <v>99.295421784314584</v>
      </c>
      <c r="AK41">
        <v>199.85889560954917</v>
      </c>
      <c r="AL41">
        <v>51.091053920171561</v>
      </c>
      <c r="AM41">
        <v>37.234034809390977</v>
      </c>
      <c r="AN41">
        <v>27.443617038126604</v>
      </c>
      <c r="AO41">
        <v>17.981207655666381</v>
      </c>
      <c r="AP41">
        <v>9.9224670372983752</v>
      </c>
      <c r="AQ41">
        <v>8.1794442481810421</v>
      </c>
      <c r="AR41">
        <v>6.1775715898945123</v>
      </c>
      <c r="AS41">
        <v>5.5360617536979788</v>
      </c>
      <c r="AT41">
        <v>5.3752294642005438</v>
      </c>
      <c r="AU41">
        <v>3.84837869171173</v>
      </c>
      <c r="AV41">
        <v>3.8893856481027456</v>
      </c>
      <c r="AW41">
        <v>4.933116404961396</v>
      </c>
      <c r="AX41">
        <v>3.114369525105559</v>
      </c>
      <c r="AY41">
        <v>3.880623726798575</v>
      </c>
      <c r="AZ41">
        <v>5.4398463084487219</v>
      </c>
      <c r="BA41">
        <v>5.5292297830119423</v>
      </c>
      <c r="BB41">
        <v>2.7328392838841751</v>
      </c>
      <c r="BC41">
        <v>0.92011314942975275</v>
      </c>
      <c r="BD41">
        <v>3.0657145464975741</v>
      </c>
      <c r="BE41">
        <v>2.1834335739452371</v>
      </c>
      <c r="BF41">
        <v>1.132797187850727</v>
      </c>
      <c r="BG41">
        <v>1.3407828738664733</v>
      </c>
      <c r="BH41">
        <v>1.2345364585961249</v>
      </c>
      <c r="BI41">
        <v>0.98747242430856375</v>
      </c>
      <c r="BJ41">
        <v>2.7092399520610684</v>
      </c>
      <c r="BK41">
        <v>3.5930116761976052</v>
      </c>
      <c r="BL41">
        <v>3.822679868077401</v>
      </c>
      <c r="BM41">
        <v>2.4077795660855372</v>
      </c>
      <c r="BN41">
        <v>5.3402360280074817</v>
      </c>
      <c r="BO41">
        <v>10.689577427514024</v>
      </c>
      <c r="BP41">
        <v>9.8656927023499748</v>
      </c>
      <c r="BQ41">
        <v>3.7333610768522192</v>
      </c>
    </row>
    <row r="42" spans="1:69" hidden="1" x14ac:dyDescent="0.2">
      <c r="A42" t="s">
        <v>145</v>
      </c>
      <c r="B42" t="s">
        <v>146</v>
      </c>
      <c r="C42" t="s">
        <v>71</v>
      </c>
      <c r="D42" t="s">
        <v>72</v>
      </c>
      <c r="F42">
        <v>4.058289237286445</v>
      </c>
      <c r="G42">
        <v>5.8270682242230123</v>
      </c>
      <c r="H42">
        <v>4.847760242173436</v>
      </c>
      <c r="I42">
        <v>5.310728126925369</v>
      </c>
      <c r="J42">
        <v>3.7972414189914048</v>
      </c>
      <c r="K42">
        <v>4.8050096929550534</v>
      </c>
      <c r="L42">
        <v>4.4533155614698785</v>
      </c>
      <c r="M42">
        <v>3.0811057929825267</v>
      </c>
      <c r="N42">
        <v>2.5743916465665677</v>
      </c>
      <c r="O42">
        <v>4.7127555429691057</v>
      </c>
      <c r="P42">
        <v>9.1511235095035062</v>
      </c>
      <c r="Q42">
        <v>9.8019590033679975</v>
      </c>
      <c r="R42">
        <v>8.1404253429039954</v>
      </c>
      <c r="S42">
        <v>6.9326190400935843</v>
      </c>
      <c r="T42">
        <v>7.1329410196014891</v>
      </c>
      <c r="U42">
        <v>2.7298545523386508</v>
      </c>
      <c r="V42">
        <v>0.25801173425317359</v>
      </c>
      <c r="W42">
        <v>3.6127647742995492</v>
      </c>
      <c r="X42">
        <v>1.9883689240663927</v>
      </c>
      <c r="Y42">
        <v>2.7066827949224574</v>
      </c>
      <c r="Z42">
        <v>5.6611074455016563</v>
      </c>
      <c r="AA42">
        <v>7.3480407652494648</v>
      </c>
      <c r="AB42">
        <v>2.366884436892164</v>
      </c>
      <c r="AC42">
        <v>3.7596378060370768</v>
      </c>
      <c r="AD42">
        <v>2.2707307984784109</v>
      </c>
      <c r="AE42">
        <v>3.0345937493264614</v>
      </c>
      <c r="AF42">
        <v>2.1934824893368443</v>
      </c>
      <c r="AG42">
        <v>2.7902385610132399</v>
      </c>
      <c r="AH42">
        <v>3.4584601531702361</v>
      </c>
      <c r="AI42">
        <v>4.6036214160779991</v>
      </c>
      <c r="AJ42">
        <v>5.4091047017985403</v>
      </c>
      <c r="AK42">
        <v>2.1246350484240679</v>
      </c>
      <c r="AL42">
        <v>2.3220240599701043</v>
      </c>
      <c r="AM42">
        <v>1.184387013129836</v>
      </c>
      <c r="AN42">
        <v>0.73775778518860591</v>
      </c>
      <c r="AO42">
        <v>0.2800224561040352</v>
      </c>
      <c r="AP42">
        <v>-0.47648339545375507</v>
      </c>
      <c r="AQ42">
        <v>-0.18925919082604992</v>
      </c>
      <c r="AR42">
        <v>4.3770788149899431E-2</v>
      </c>
      <c r="AS42">
        <v>1.3672853205111579</v>
      </c>
      <c r="AT42">
        <v>0.97438330066886181</v>
      </c>
      <c r="AU42">
        <v>-0.24946372685070628</v>
      </c>
      <c r="AV42">
        <v>1.1797591898129269</v>
      </c>
      <c r="AW42">
        <v>0.2966273575993057</v>
      </c>
      <c r="AX42">
        <v>0.92463817250194325</v>
      </c>
      <c r="AY42">
        <v>2.1502580161036633</v>
      </c>
      <c r="AZ42">
        <v>2.3770613717207851</v>
      </c>
      <c r="BA42">
        <v>1.4499280492712217</v>
      </c>
      <c r="BB42">
        <v>0.45754387165541743</v>
      </c>
      <c r="BC42">
        <v>0.31273658750031075</v>
      </c>
      <c r="BD42">
        <v>-2.0452867154105547E-2</v>
      </c>
      <c r="BE42">
        <v>6.3720244115515356E-2</v>
      </c>
      <c r="BF42">
        <v>-8.6842591442902517E-2</v>
      </c>
      <c r="BG42">
        <v>-0.65312379017548494</v>
      </c>
      <c r="BH42">
        <v>-1.265056849714469</v>
      </c>
      <c r="BI42">
        <v>-0.58329161427467113</v>
      </c>
      <c r="BJ42">
        <v>-0.36786916737683839</v>
      </c>
      <c r="BK42">
        <v>0.76428905020109994</v>
      </c>
      <c r="BL42">
        <v>-0.10389502427975117</v>
      </c>
      <c r="BM42">
        <v>-0.69918771043224126</v>
      </c>
      <c r="BN42">
        <v>1.3215013467958556</v>
      </c>
      <c r="BO42">
        <v>3.0400522180438685</v>
      </c>
      <c r="BP42">
        <v>0.89627732914728142</v>
      </c>
      <c r="BQ42">
        <v>1.2887446452561733</v>
      </c>
    </row>
    <row r="43" spans="1:69" hidden="1" x14ac:dyDescent="0.2">
      <c r="A43" t="s">
        <v>147</v>
      </c>
      <c r="B43" t="s">
        <v>148</v>
      </c>
      <c r="C43" t="s">
        <v>71</v>
      </c>
      <c r="D43" t="s">
        <v>72</v>
      </c>
      <c r="BC43">
        <v>2.3145855100377162</v>
      </c>
      <c r="BD43">
        <v>3.3623467817387933</v>
      </c>
      <c r="BE43">
        <v>5.4546564186950945</v>
      </c>
      <c r="BF43">
        <v>2.0381662432797043</v>
      </c>
      <c r="BG43">
        <v>1.7787748133167582</v>
      </c>
      <c r="BH43">
        <v>3.0341513632696149</v>
      </c>
      <c r="BI43">
        <v>1.3965051817484522</v>
      </c>
      <c r="BJ43">
        <v>3.0623063871392873</v>
      </c>
      <c r="BK43">
        <v>4.3093121581308651</v>
      </c>
      <c r="BL43">
        <v>2.9547664413424428</v>
      </c>
      <c r="BM43">
        <v>2.8333498329538713</v>
      </c>
      <c r="BN43">
        <v>0.21684063582002011</v>
      </c>
      <c r="BO43">
        <v>7.3583223226885082</v>
      </c>
      <c r="BP43">
        <v>5.7525828997310668</v>
      </c>
    </row>
    <row r="44" spans="1:69" hidden="1" x14ac:dyDescent="0.2">
      <c r="A44" t="s">
        <v>149</v>
      </c>
      <c r="B44" t="s">
        <v>150</v>
      </c>
      <c r="C44" t="s">
        <v>71</v>
      </c>
      <c r="D44" t="s">
        <v>72</v>
      </c>
      <c r="F44">
        <v>6.3032982620985223</v>
      </c>
      <c r="G44">
        <v>12.965385015271266</v>
      </c>
      <c r="H44">
        <v>43.462806894803407</v>
      </c>
      <c r="I44">
        <v>47.656409849045076</v>
      </c>
      <c r="J44">
        <v>38.583159282712586</v>
      </c>
      <c r="K44">
        <v>28.424512917949357</v>
      </c>
      <c r="L44">
        <v>25.086223024691918</v>
      </c>
      <c r="M44">
        <v>33.592292326381653</v>
      </c>
      <c r="N44">
        <v>39.72051733676679</v>
      </c>
      <c r="O44">
        <v>40.927196304096924</v>
      </c>
      <c r="P44">
        <v>17.348888885665232</v>
      </c>
      <c r="Q44">
        <v>88.404161319206708</v>
      </c>
      <c r="R44">
        <v>417.64980001143226</v>
      </c>
      <c r="S44">
        <v>686.30963680891261</v>
      </c>
      <c r="T44">
        <v>344.76992931789903</v>
      </c>
      <c r="U44">
        <v>245.65231269338926</v>
      </c>
      <c r="V44">
        <v>101.30443074928075</v>
      </c>
      <c r="W44">
        <v>56.093463682808846</v>
      </c>
      <c r="X44">
        <v>47.449104612705099</v>
      </c>
      <c r="Y44">
        <v>28.719810024326591</v>
      </c>
      <c r="Z44">
        <v>11.420050426599587</v>
      </c>
      <c r="AA44">
        <v>7.1705554036806802</v>
      </c>
      <c r="AB44">
        <v>31.353513012783225</v>
      </c>
      <c r="AC44">
        <v>16.128259518439009</v>
      </c>
      <c r="AD44">
        <v>41.858189545040347</v>
      </c>
      <c r="AE44">
        <v>21.869944354286332</v>
      </c>
      <c r="AF44">
        <v>25.524016519593104</v>
      </c>
      <c r="AG44">
        <v>20.409888407188376</v>
      </c>
      <c r="AH44">
        <v>13.356487489314461</v>
      </c>
      <c r="AI44">
        <v>22.55369983204784</v>
      </c>
      <c r="AJ44">
        <v>21.61728381758661</v>
      </c>
      <c r="AK44">
        <v>13.416832175813468</v>
      </c>
      <c r="AL44">
        <v>12.097380270754982</v>
      </c>
      <c r="AM44">
        <v>13.800594546780729</v>
      </c>
      <c r="AN44">
        <v>11.064162437778165</v>
      </c>
      <c r="AO44">
        <v>3.2486594640559048</v>
      </c>
      <c r="AP44">
        <v>3.3305805030905873</v>
      </c>
      <c r="AQ44">
        <v>0.77899020674266239</v>
      </c>
      <c r="AR44">
        <v>2.1877678707425758</v>
      </c>
      <c r="AS44">
        <v>4.5600434866002786</v>
      </c>
      <c r="AT44">
        <v>4.2771469818752195</v>
      </c>
      <c r="AU44">
        <v>3.3406603724244377</v>
      </c>
      <c r="AV44">
        <v>4.3003008838835513</v>
      </c>
      <c r="AW44">
        <v>7.0247617066378609</v>
      </c>
      <c r="AX44">
        <v>7.1203153523323266</v>
      </c>
      <c r="AY44">
        <v>12.349895920879177</v>
      </c>
      <c r="AZ44">
        <v>5.0887570668908637</v>
      </c>
      <c r="BA44">
        <v>0.31113249873496329</v>
      </c>
      <c r="BB44">
        <v>3.5777950417431867</v>
      </c>
      <c r="BC44">
        <v>8.8574414894234508</v>
      </c>
      <c r="BD44">
        <v>3.2605148661830441</v>
      </c>
      <c r="BE44">
        <v>0.76346668066304346</v>
      </c>
      <c r="BF44">
        <v>2.2607706092235418</v>
      </c>
      <c r="BG44">
        <v>5.8528916256263415</v>
      </c>
      <c r="BH44">
        <v>4.9543655300257541</v>
      </c>
      <c r="BI44">
        <v>4.5606560368475613</v>
      </c>
      <c r="BJ44">
        <v>4.8281918862087281</v>
      </c>
      <c r="BK44">
        <v>1.590199737162294</v>
      </c>
      <c r="BL44">
        <v>2.5677872137949578</v>
      </c>
      <c r="BM44">
        <v>9.6657226969396106</v>
      </c>
      <c r="BN44">
        <v>6.8688263705134887</v>
      </c>
      <c r="BO44">
        <v>7.5601573866270968</v>
      </c>
      <c r="BP44">
        <v>6.5877716990895721</v>
      </c>
      <c r="BQ44">
        <v>7.7149596587903631</v>
      </c>
    </row>
    <row r="45" spans="1:69" hidden="1" x14ac:dyDescent="0.2">
      <c r="A45" t="s">
        <v>151</v>
      </c>
      <c r="B45" t="s">
        <v>152</v>
      </c>
      <c r="C45" t="s">
        <v>71</v>
      </c>
      <c r="D45" t="s">
        <v>72</v>
      </c>
      <c r="F45">
        <v>15.246306111941138</v>
      </c>
      <c r="G45">
        <v>-0.11085663348960395</v>
      </c>
      <c r="H45">
        <v>-2.6282434419363199</v>
      </c>
      <c r="I45">
        <v>-0.37973132676619059</v>
      </c>
      <c r="J45">
        <v>0.86379575525621988</v>
      </c>
      <c r="K45">
        <v>-1.5717206591354511</v>
      </c>
      <c r="L45">
        <v>0.81714953208596341</v>
      </c>
      <c r="M45">
        <v>1.3745610623994367</v>
      </c>
      <c r="N45">
        <v>-3.8029361051724209</v>
      </c>
      <c r="O45">
        <v>-2.6301916056888643</v>
      </c>
      <c r="P45">
        <v>0.66235403666732395</v>
      </c>
      <c r="Q45">
        <v>7.6080525515948239E-2</v>
      </c>
      <c r="R45">
        <v>0.20747149965340839</v>
      </c>
      <c r="S45">
        <v>0.27723493403975397</v>
      </c>
      <c r="T45">
        <v>-1.1323786731103951</v>
      </c>
      <c r="U45">
        <v>-9.6929270735685691E-2</v>
      </c>
      <c r="V45">
        <v>1.0926125825924373</v>
      </c>
      <c r="W45">
        <v>1.674733423020939</v>
      </c>
      <c r="X45">
        <v>3.5987883402890191</v>
      </c>
      <c r="Y45">
        <v>3.7646726356602898</v>
      </c>
      <c r="Z45">
        <v>2.3606022677368941</v>
      </c>
      <c r="AA45">
        <v>-0.16790292261634931</v>
      </c>
      <c r="AB45">
        <v>1.1974475782154457</v>
      </c>
      <c r="AC45">
        <v>4.9054226465927258</v>
      </c>
      <c r="AD45">
        <v>10.199640686229699</v>
      </c>
      <c r="AE45">
        <v>4.6804546985124631</v>
      </c>
      <c r="AF45">
        <v>5.1027592373300621</v>
      </c>
      <c r="AG45">
        <v>12.101754580228103</v>
      </c>
      <c r="AH45">
        <v>8.6076310473647482</v>
      </c>
      <c r="AI45">
        <v>5.7089955749058277</v>
      </c>
      <c r="AJ45">
        <v>6.7265423741087886</v>
      </c>
      <c r="AK45">
        <v>8.2001468576138592</v>
      </c>
      <c r="AL45">
        <v>15.184678952053602</v>
      </c>
      <c r="AM45">
        <v>20.640540714294843</v>
      </c>
      <c r="AN45">
        <v>13.633006597005874</v>
      </c>
      <c r="AO45">
        <v>6.5058322197502889</v>
      </c>
      <c r="AP45">
        <v>1.6570958350958591</v>
      </c>
      <c r="AQ45">
        <v>-0.82647256437888927</v>
      </c>
      <c r="AR45">
        <v>-1.2196809107465754</v>
      </c>
      <c r="AS45">
        <v>2.0997843720226683</v>
      </c>
      <c r="AT45">
        <v>2.2120491545188656</v>
      </c>
      <c r="AU45">
        <v>0.64269600580271913</v>
      </c>
      <c r="AV45">
        <v>2.6426797982542354</v>
      </c>
      <c r="AW45">
        <v>6.990192211452225</v>
      </c>
      <c r="AX45">
        <v>3.7487176999052139</v>
      </c>
      <c r="AY45">
        <v>4.019457596965907</v>
      </c>
      <c r="AZ45">
        <v>7.9136594454889888</v>
      </c>
      <c r="BA45">
        <v>7.8565864646320591</v>
      </c>
      <c r="BB45">
        <v>-8.1966941983139918E-2</v>
      </c>
      <c r="BC45">
        <v>6.9284573129599636</v>
      </c>
      <c r="BD45">
        <v>8.0160629287618974</v>
      </c>
      <c r="BE45">
        <v>2.4051841272562058</v>
      </c>
      <c r="BF45">
        <v>2.2979939740194482</v>
      </c>
      <c r="BG45">
        <v>1.0910912656273126</v>
      </c>
      <c r="BH45">
        <v>0.13726120060239566</v>
      </c>
      <c r="BI45">
        <v>1.4774412133406543</v>
      </c>
      <c r="BJ45">
        <v>4.1460223747057796</v>
      </c>
      <c r="BK45">
        <v>3.4678977729216882</v>
      </c>
      <c r="BL45">
        <v>1.3155065070298519</v>
      </c>
      <c r="BM45">
        <v>0.53000081660456999</v>
      </c>
      <c r="BN45">
        <v>4.4738613207888847</v>
      </c>
      <c r="BO45">
        <v>1.9342740784076256</v>
      </c>
      <c r="BP45">
        <v>-0.50570453916355973</v>
      </c>
      <c r="BQ45">
        <v>-0.70720000979558506</v>
      </c>
    </row>
    <row r="46" spans="1:69" hidden="1" x14ac:dyDescent="0.2">
      <c r="A46" t="s">
        <v>153</v>
      </c>
      <c r="B46" t="s">
        <v>154</v>
      </c>
      <c r="C46" t="s">
        <v>71</v>
      </c>
      <c r="D46" t="s">
        <v>72</v>
      </c>
      <c r="F46">
        <v>2.9900634646976556</v>
      </c>
      <c r="G46">
        <v>3.0048198149283962</v>
      </c>
      <c r="H46">
        <v>3.0139171557781737</v>
      </c>
      <c r="I46">
        <v>2.9061779508730012</v>
      </c>
      <c r="J46">
        <v>3.0788678046785236</v>
      </c>
      <c r="K46">
        <v>4.1603224018032847E-2</v>
      </c>
      <c r="L46">
        <v>1.2277518339989086</v>
      </c>
      <c r="M46">
        <v>5.7937999787982903</v>
      </c>
      <c r="N46">
        <v>1.8539178476498108</v>
      </c>
      <c r="O46">
        <v>2.9908483103868519</v>
      </c>
      <c r="P46">
        <v>-0.94109387122304611</v>
      </c>
      <c r="Q46">
        <v>2.5116164284507505</v>
      </c>
      <c r="R46">
        <v>13.22796896831278</v>
      </c>
      <c r="S46">
        <v>26.694171334851717</v>
      </c>
      <c r="T46">
        <v>4.3139536622477124</v>
      </c>
      <c r="U46">
        <v>18.222973247537766</v>
      </c>
      <c r="V46">
        <v>28.751291833987779</v>
      </c>
      <c r="W46">
        <v>4.4333046344698204</v>
      </c>
      <c r="X46">
        <v>6.5413971334310901</v>
      </c>
      <c r="Y46">
        <v>24.143677109116751</v>
      </c>
      <c r="Z46">
        <v>2.9769911583763928</v>
      </c>
      <c r="AA46">
        <v>8.3013175895620037</v>
      </c>
      <c r="AB46">
        <v>9.0467819094663042</v>
      </c>
      <c r="AC46">
        <v>17.909895891775605</v>
      </c>
      <c r="AD46">
        <v>0.34365706477201741</v>
      </c>
      <c r="AE46">
        <v>-2.0204048360965032</v>
      </c>
      <c r="AF46">
        <v>-4.0752068006097204</v>
      </c>
      <c r="AG46">
        <v>-0.38092601495539213</v>
      </c>
      <c r="AH46">
        <v>-1.0124065238401698</v>
      </c>
      <c r="AI46">
        <v>-4.5232735428308359</v>
      </c>
      <c r="AJ46">
        <v>0.66348926714647405</v>
      </c>
      <c r="AK46">
        <v>-2.3837137265090291E-2</v>
      </c>
      <c r="AL46">
        <v>6.154194290898829</v>
      </c>
      <c r="AM46">
        <v>46.38606943541896</v>
      </c>
      <c r="AN46">
        <v>11.043789851394052</v>
      </c>
      <c r="AO46">
        <v>56.283776273896592</v>
      </c>
      <c r="AP46">
        <v>3.921474201352197</v>
      </c>
      <c r="AQ46">
        <v>5.3873613906569631</v>
      </c>
      <c r="AR46">
        <v>-0.77591192944338161</v>
      </c>
      <c r="AS46">
        <v>1.6010172872691726</v>
      </c>
      <c r="AT46">
        <v>6.8759687974264523</v>
      </c>
      <c r="AU46">
        <v>4.582137352165546</v>
      </c>
      <c r="AV46">
        <v>3.2781206928541167</v>
      </c>
      <c r="AW46">
        <v>-2.5033575200438491</v>
      </c>
      <c r="AX46">
        <v>1.2151349397056208</v>
      </c>
      <c r="AY46">
        <v>1.359538259600896</v>
      </c>
      <c r="AZ46">
        <v>3.0885494457229186</v>
      </c>
      <c r="BA46">
        <v>5.3729334850033865</v>
      </c>
      <c r="BB46">
        <v>1.2077792972368826</v>
      </c>
      <c r="BC46">
        <v>1.5162179241976048</v>
      </c>
      <c r="BD46">
        <v>5.7093205000567906</v>
      </c>
      <c r="BE46">
        <v>-0.4040983607408748</v>
      </c>
      <c r="BF46">
        <v>2.876730428525164</v>
      </c>
      <c r="BG46">
        <v>4.4073323557207544</v>
      </c>
      <c r="BH46">
        <v>4.7756823727082747</v>
      </c>
      <c r="BI46">
        <v>-1.1798324356569623</v>
      </c>
      <c r="BJ46">
        <v>-1.0416772481708421</v>
      </c>
      <c r="BK46">
        <v>1.6819764717322556</v>
      </c>
      <c r="BL46">
        <v>1.983352492608077</v>
      </c>
      <c r="BM46">
        <v>1.8283830937207597</v>
      </c>
      <c r="BN46">
        <v>3.9301313754436933</v>
      </c>
      <c r="BO46">
        <v>3.00000062873427</v>
      </c>
      <c r="BP46">
        <v>2.5513654014822151</v>
      </c>
      <c r="BQ46">
        <v>2.5500000000630223</v>
      </c>
    </row>
    <row r="47" spans="1:69" hidden="1" x14ac:dyDescent="0.2">
      <c r="A47" t="s">
        <v>155</v>
      </c>
      <c r="B47" t="s">
        <v>156</v>
      </c>
      <c r="C47" t="s">
        <v>71</v>
      </c>
      <c r="D47" t="s">
        <v>72</v>
      </c>
      <c r="F47">
        <v>5.0644490878644746</v>
      </c>
      <c r="G47">
        <v>3.1099590685684575</v>
      </c>
      <c r="H47">
        <v>-0.26411902547354771</v>
      </c>
      <c r="I47">
        <v>4.4210333266836699</v>
      </c>
      <c r="J47">
        <v>2.7524317131867804</v>
      </c>
      <c r="K47">
        <v>0.18837671387154842</v>
      </c>
      <c r="L47">
        <v>23.629185081942737</v>
      </c>
      <c r="M47">
        <v>5.7507299162920589</v>
      </c>
      <c r="N47">
        <v>5.3019614018669614</v>
      </c>
      <c r="O47">
        <v>7.8840033593083945</v>
      </c>
      <c r="P47">
        <v>3.4401246860209085</v>
      </c>
      <c r="Q47">
        <v>7.9763834574840615</v>
      </c>
      <c r="R47">
        <v>6.5295330397529483</v>
      </c>
      <c r="S47">
        <v>10.656092861306604</v>
      </c>
      <c r="T47">
        <v>5.9900728243546268</v>
      </c>
      <c r="U47">
        <v>19.674443513324206</v>
      </c>
      <c r="V47">
        <v>5.884773833660546</v>
      </c>
      <c r="W47">
        <v>3.4098066343489961</v>
      </c>
      <c r="X47">
        <v>12.85276675004765</v>
      </c>
      <c r="Y47">
        <v>14.245894646192127</v>
      </c>
      <c r="Z47">
        <v>8.8001938263315083</v>
      </c>
      <c r="AA47">
        <v>12.481951453096357</v>
      </c>
      <c r="AB47">
        <v>12.763071930470034</v>
      </c>
      <c r="AC47">
        <v>13.552191792170689</v>
      </c>
      <c r="AD47">
        <v>11.187127883431785</v>
      </c>
      <c r="AE47">
        <v>0.17923568387799094</v>
      </c>
      <c r="AF47">
        <v>-2.3923091463216508</v>
      </c>
      <c r="AG47">
        <v>0.81389866535930366</v>
      </c>
      <c r="AH47">
        <v>-1.819083163379787</v>
      </c>
      <c r="AI47">
        <v>1.6430984309149466</v>
      </c>
      <c r="AJ47">
        <v>3.5687135295736141</v>
      </c>
      <c r="AK47">
        <v>-1.2776710293542664</v>
      </c>
      <c r="AL47">
        <v>55.755379370387601</v>
      </c>
      <c r="AM47">
        <v>5.8824723470360283</v>
      </c>
      <c r="AN47">
        <v>6.6345140371088434</v>
      </c>
      <c r="AO47">
        <v>0.41055908051586698</v>
      </c>
      <c r="AP47">
        <v>6.1638110545077893</v>
      </c>
      <c r="AQ47">
        <v>1.0658698782603011</v>
      </c>
      <c r="AR47">
        <v>2.1877885006517488</v>
      </c>
      <c r="AS47">
        <v>1.5315629586796433</v>
      </c>
      <c r="AT47">
        <v>2.4693589147144763</v>
      </c>
      <c r="AU47">
        <v>2.7744928495389729</v>
      </c>
      <c r="AV47">
        <v>1.9529144491334165</v>
      </c>
      <c r="AW47">
        <v>0.13948783480724103</v>
      </c>
      <c r="AX47">
        <v>1.3571419590405327</v>
      </c>
      <c r="AY47">
        <v>2.2996749778616277</v>
      </c>
      <c r="AZ47">
        <v>0.49070803470594626</v>
      </c>
      <c r="BA47">
        <v>4.9405368116780295</v>
      </c>
      <c r="BB47">
        <v>3.6035151841818873</v>
      </c>
      <c r="BC47">
        <v>0.68818708277764529</v>
      </c>
      <c r="BD47">
        <v>2.5890442474789381</v>
      </c>
      <c r="BE47">
        <v>1.9422853638882316</v>
      </c>
      <c r="BF47">
        <v>3.0534591692503739</v>
      </c>
      <c r="BG47">
        <v>2.0142126302225734</v>
      </c>
      <c r="BH47">
        <v>0.30979167778053807</v>
      </c>
      <c r="BI47">
        <v>0.66180897715588571</v>
      </c>
      <c r="BJ47">
        <v>1.0251411606625283</v>
      </c>
      <c r="BK47">
        <v>1.8969916226624832</v>
      </c>
      <c r="BL47">
        <v>1.1697718191154109</v>
      </c>
      <c r="BM47">
        <v>0.70557203762172094</v>
      </c>
      <c r="BN47">
        <v>2.921039333755914</v>
      </c>
      <c r="BO47">
        <v>6.8310547324867343</v>
      </c>
      <c r="BP47">
        <v>4.6597228596238125</v>
      </c>
      <c r="BQ47">
        <v>0.42953158379299339</v>
      </c>
    </row>
    <row r="48" spans="1:69" hidden="1" x14ac:dyDescent="0.2">
      <c r="A48" t="s">
        <v>157</v>
      </c>
      <c r="B48" t="s">
        <v>158</v>
      </c>
      <c r="C48" t="s">
        <v>71</v>
      </c>
      <c r="D48" t="s">
        <v>72</v>
      </c>
      <c r="F48">
        <v>6.0994781609134776</v>
      </c>
      <c r="G48">
        <v>21.240771966504667</v>
      </c>
      <c r="H48">
        <v>87.849201304061324</v>
      </c>
      <c r="I48">
        <v>3.5479775551811201</v>
      </c>
      <c r="J48">
        <v>38.952121511214017</v>
      </c>
      <c r="K48">
        <v>4.9738205992076985</v>
      </c>
      <c r="L48">
        <v>58.574410343496908</v>
      </c>
      <c r="M48">
        <v>59.882784853842168</v>
      </c>
      <c r="N48">
        <v>17.731061833850177</v>
      </c>
      <c r="O48">
        <v>-2.8369488996937093</v>
      </c>
      <c r="P48">
        <v>8.2036967886125751</v>
      </c>
      <c r="Q48">
        <v>10.18139845976016</v>
      </c>
      <c r="R48">
        <v>17.887049487873782</v>
      </c>
      <c r="S48">
        <v>18.238322992893984</v>
      </c>
      <c r="T48">
        <v>12.265417976400613</v>
      </c>
      <c r="U48">
        <v>57.395428383235696</v>
      </c>
      <c r="V48">
        <v>37.271648730266406</v>
      </c>
      <c r="W48">
        <v>28.41429852009253</v>
      </c>
      <c r="X48">
        <v>101.77003624382758</v>
      </c>
      <c r="Y48">
        <v>51.407554167859502</v>
      </c>
      <c r="Z48">
        <v>33.230222110794614</v>
      </c>
      <c r="AA48">
        <v>43.485283559513334</v>
      </c>
      <c r="AB48">
        <v>78.215472898851147</v>
      </c>
      <c r="AC48">
        <v>89.603221557420653</v>
      </c>
      <c r="AD48">
        <v>25.81090939356254</v>
      </c>
      <c r="AE48">
        <v>28.453256506046301</v>
      </c>
      <c r="AF48">
        <v>73.767397889428622</v>
      </c>
      <c r="AG48">
        <v>91.586185492103539</v>
      </c>
      <c r="AH48">
        <v>110.26224798857652</v>
      </c>
      <c r="AI48">
        <v>108.95530711449663</v>
      </c>
      <c r="AJ48">
        <v>2338.4496701441849</v>
      </c>
      <c r="AK48">
        <v>3855.3076410705771</v>
      </c>
      <c r="AL48">
        <v>1657.6415886577233</v>
      </c>
      <c r="AM48">
        <v>26765.858251885493</v>
      </c>
      <c r="AN48">
        <v>466.40735862754968</v>
      </c>
      <c r="AO48">
        <v>638.18882434587817</v>
      </c>
      <c r="AP48">
        <v>192.6428345357138</v>
      </c>
      <c r="AQ48">
        <v>26.935376360347732</v>
      </c>
      <c r="AR48">
        <v>441.9024918753521</v>
      </c>
      <c r="AS48">
        <v>2630.1226744223991</v>
      </c>
      <c r="AT48">
        <v>73.059711361527036</v>
      </c>
      <c r="AU48">
        <v>31.719461228940474</v>
      </c>
      <c r="AV48">
        <v>13.415453520497309</v>
      </c>
      <c r="AW48">
        <v>6.3654582626611216</v>
      </c>
      <c r="AX48">
        <v>29.869546622257388</v>
      </c>
      <c r="AY48">
        <v>13.325225383839424</v>
      </c>
      <c r="AZ48">
        <v>20.271464976046701</v>
      </c>
      <c r="BA48">
        <v>20.465316617956717</v>
      </c>
      <c r="BB48">
        <v>32.657929155267311</v>
      </c>
      <c r="BC48">
        <v>20.786325148869338</v>
      </c>
      <c r="BD48">
        <v>13.791660106754961</v>
      </c>
      <c r="BE48">
        <v>5.9399922119393551</v>
      </c>
      <c r="BF48">
        <v>2.7712914145542982</v>
      </c>
      <c r="BG48">
        <v>0.99363066697173963</v>
      </c>
      <c r="BH48">
        <v>-1.1558785928701241</v>
      </c>
      <c r="BI48">
        <v>4.3492289447587922</v>
      </c>
      <c r="BJ48">
        <v>43.068659764167705</v>
      </c>
      <c r="BK48">
        <v>30.998612148703018</v>
      </c>
      <c r="BL48">
        <v>5.8954053744032535</v>
      </c>
      <c r="BM48">
        <v>3.9015495706452725</v>
      </c>
      <c r="BN48">
        <v>14.975434553120891</v>
      </c>
      <c r="BO48">
        <v>10.106417235433312</v>
      </c>
      <c r="BP48">
        <v>14.183736519640959</v>
      </c>
      <c r="BQ48">
        <v>14.312856230407107</v>
      </c>
    </row>
    <row r="49" spans="1:69" hidden="1" x14ac:dyDescent="0.2">
      <c r="A49" t="s">
        <v>159</v>
      </c>
      <c r="B49" t="s">
        <v>160</v>
      </c>
      <c r="C49" t="s">
        <v>71</v>
      </c>
      <c r="D49" t="s">
        <v>72</v>
      </c>
      <c r="F49">
        <v>6.2939566950103654</v>
      </c>
      <c r="G49">
        <v>4.253819911262255</v>
      </c>
      <c r="H49">
        <v>7.7738971807798265</v>
      </c>
      <c r="I49">
        <v>3.8559432114296754</v>
      </c>
      <c r="J49">
        <v>3.0254854105308056</v>
      </c>
      <c r="K49">
        <v>10.027358294835878</v>
      </c>
      <c r="L49">
        <v>5.5160523102017862</v>
      </c>
      <c r="M49">
        <v>-1.0447317946364478</v>
      </c>
      <c r="N49">
        <v>2.9968934217220209</v>
      </c>
      <c r="O49">
        <v>3.7104552122830654</v>
      </c>
      <c r="P49">
        <v>8.3130186221402482</v>
      </c>
      <c r="Q49">
        <v>7.4277740774663528</v>
      </c>
      <c r="R49">
        <v>7.8385786773515775</v>
      </c>
      <c r="S49">
        <v>8.1137412793985391</v>
      </c>
      <c r="T49">
        <v>8.3048045476990637</v>
      </c>
      <c r="U49">
        <v>8.6757513355651525</v>
      </c>
      <c r="V49">
        <v>14.524531454764713</v>
      </c>
      <c r="W49">
        <v>-0.82834308252286348</v>
      </c>
      <c r="X49">
        <v>17.101597875754294</v>
      </c>
      <c r="Y49">
        <v>20.144008536564641</v>
      </c>
      <c r="Z49">
        <v>27.78912691647399</v>
      </c>
      <c r="AA49">
        <v>6.0447381653128502</v>
      </c>
      <c r="AB49">
        <v>6.3383715278553012</v>
      </c>
      <c r="AC49">
        <v>12.111394616947365</v>
      </c>
      <c r="AD49">
        <v>2.4985401529200999</v>
      </c>
      <c r="AE49">
        <v>-29.17266248172885</v>
      </c>
      <c r="AF49">
        <v>7.6265215785214195</v>
      </c>
      <c r="AG49">
        <v>-6.2263529839170815</v>
      </c>
      <c r="AH49">
        <v>12.74406017884499</v>
      </c>
      <c r="AI49">
        <v>-1.0290682709095762</v>
      </c>
      <c r="AJ49">
        <v>-1.4806356951598616</v>
      </c>
      <c r="AK49">
        <v>-1.5692684126463803</v>
      </c>
      <c r="AL49">
        <v>-1.1308286110912888</v>
      </c>
      <c r="AM49">
        <v>36.752825653822043</v>
      </c>
      <c r="AN49">
        <v>3.3959295103905589</v>
      </c>
      <c r="AO49">
        <v>17.991924026720497</v>
      </c>
      <c r="AP49">
        <v>4.9645176820283865</v>
      </c>
      <c r="AQ49">
        <v>-18.222089661454916</v>
      </c>
      <c r="AR49">
        <v>29.355341928193297</v>
      </c>
      <c r="AS49">
        <v>47.040083076182242</v>
      </c>
      <c r="AT49">
        <v>-13.92520816832311</v>
      </c>
      <c r="AU49">
        <v>-1.7389275602747034</v>
      </c>
      <c r="AV49">
        <v>-4.2515369203041047</v>
      </c>
      <c r="AW49">
        <v>16.807238305784992</v>
      </c>
      <c r="AX49">
        <v>32.498739510546443</v>
      </c>
      <c r="AY49">
        <v>11.380301762570639</v>
      </c>
      <c r="AZ49">
        <v>6.7401171318129514</v>
      </c>
      <c r="BA49">
        <v>16.269203427653608</v>
      </c>
      <c r="BB49">
        <v>-21.165233112896161</v>
      </c>
      <c r="BC49">
        <v>29.417683796629632</v>
      </c>
      <c r="BD49">
        <v>10.953325511461955</v>
      </c>
      <c r="BE49">
        <v>11.364090236871775</v>
      </c>
      <c r="BF49">
        <v>-1.1045621892685773</v>
      </c>
      <c r="BG49">
        <v>-6.4645633129211859</v>
      </c>
      <c r="BH49">
        <v>-17.253987544945787</v>
      </c>
      <c r="BI49">
        <v>-3.5024872890262913</v>
      </c>
      <c r="BJ49">
        <v>12.365676852804228</v>
      </c>
      <c r="BK49">
        <v>22.234441292158394</v>
      </c>
      <c r="BL49">
        <v>-1.3173665019561298</v>
      </c>
      <c r="BM49">
        <v>-13.99956789500088</v>
      </c>
      <c r="BN49">
        <v>23.290718009912354</v>
      </c>
      <c r="BO49">
        <v>18.260898780846574</v>
      </c>
      <c r="BP49">
        <v>-7.5677022869929118</v>
      </c>
      <c r="BQ49">
        <v>-1.3483646331152954E-2</v>
      </c>
    </row>
    <row r="50" spans="1:69" hidden="1" x14ac:dyDescent="0.2">
      <c r="A50" t="s">
        <v>161</v>
      </c>
      <c r="B50" t="s">
        <v>162</v>
      </c>
      <c r="C50" t="s">
        <v>71</v>
      </c>
      <c r="D50" t="s">
        <v>72</v>
      </c>
      <c r="F50">
        <v>8.2293682502410377</v>
      </c>
      <c r="G50">
        <v>6.6480360811119112</v>
      </c>
      <c r="H50">
        <v>23.220619537351212</v>
      </c>
      <c r="I50">
        <v>16.339879406162709</v>
      </c>
      <c r="J50">
        <v>8.6044794525010957</v>
      </c>
      <c r="K50">
        <v>15.127347315000534</v>
      </c>
      <c r="L50">
        <v>10.730183526546284</v>
      </c>
      <c r="M50">
        <v>8.4723759653468846</v>
      </c>
      <c r="N50">
        <v>8.4446575861629896</v>
      </c>
      <c r="O50">
        <v>11.885804245737177</v>
      </c>
      <c r="P50">
        <v>10.807400579001893</v>
      </c>
      <c r="Q50">
        <v>12.97231078214287</v>
      </c>
      <c r="R50">
        <v>20.161099385863125</v>
      </c>
      <c r="S50">
        <v>25.377150004666134</v>
      </c>
      <c r="T50">
        <v>22.806963129682572</v>
      </c>
      <c r="U50">
        <v>25.45755816169266</v>
      </c>
      <c r="V50">
        <v>29.152817073933278</v>
      </c>
      <c r="W50">
        <v>17.099931363788869</v>
      </c>
      <c r="X50">
        <v>24.040625539956736</v>
      </c>
      <c r="Y50">
        <v>27.615936033675666</v>
      </c>
      <c r="Z50">
        <v>22.765877298893685</v>
      </c>
      <c r="AA50">
        <v>24.766457313633623</v>
      </c>
      <c r="AB50">
        <v>20.402575699526238</v>
      </c>
      <c r="AC50">
        <v>22.180226699595835</v>
      </c>
      <c r="AD50">
        <v>24.883508038841697</v>
      </c>
      <c r="AE50">
        <v>29.168926367381346</v>
      </c>
      <c r="AF50">
        <v>23.376936516664486</v>
      </c>
      <c r="AG50">
        <v>27.750056245025377</v>
      </c>
      <c r="AH50">
        <v>24.685816139907587</v>
      </c>
      <c r="AI50">
        <v>52.336103168203806</v>
      </c>
      <c r="AJ50">
        <v>27.005774041205257</v>
      </c>
      <c r="AK50">
        <v>22.664384952591249</v>
      </c>
      <c r="AL50">
        <v>24.841578278025651</v>
      </c>
      <c r="AM50">
        <v>22.096378259210425</v>
      </c>
      <c r="AN50">
        <v>18.850957257576127</v>
      </c>
      <c r="AO50">
        <v>16.868378788976642</v>
      </c>
      <c r="AP50">
        <v>16.839852934108478</v>
      </c>
      <c r="AQ50">
        <v>14.773045410354541</v>
      </c>
      <c r="AR50">
        <v>12.622940832701502</v>
      </c>
      <c r="AS50">
        <v>33.675370509556672</v>
      </c>
      <c r="AT50">
        <v>6.5184482918424322</v>
      </c>
      <c r="AU50">
        <v>5.9681905718386616</v>
      </c>
      <c r="AV50">
        <v>6.8290148422294692</v>
      </c>
      <c r="AW50">
        <v>7.2830334068147806</v>
      </c>
      <c r="AX50">
        <v>4.7531961075477227</v>
      </c>
      <c r="AY50">
        <v>5.8076608733047692</v>
      </c>
      <c r="AZ50">
        <v>5.2020338122065368</v>
      </c>
      <c r="BA50">
        <v>7.6773829151826334</v>
      </c>
      <c r="BB50">
        <v>4.0642254674548184</v>
      </c>
      <c r="BC50">
        <v>3.8048602914638252</v>
      </c>
      <c r="BD50">
        <v>6.386803372852583</v>
      </c>
      <c r="BE50">
        <v>3.6166550626844867</v>
      </c>
      <c r="BF50">
        <v>1.9076764322116162</v>
      </c>
      <c r="BG50">
        <v>2.2356323764314965</v>
      </c>
      <c r="BH50">
        <v>2.4493284205200325</v>
      </c>
      <c r="BI50">
        <v>5.1483343051458945</v>
      </c>
      <c r="BJ50">
        <v>5.1337358996334643</v>
      </c>
      <c r="BK50">
        <v>4.6305796732782625</v>
      </c>
      <c r="BL50">
        <v>4.0026205429363841</v>
      </c>
      <c r="BM50">
        <v>1.4817246203755303</v>
      </c>
      <c r="BN50">
        <v>7.8021130954588358</v>
      </c>
      <c r="BO50">
        <v>14.925036680697772</v>
      </c>
      <c r="BP50">
        <v>6.9523623210510976</v>
      </c>
      <c r="BQ50">
        <v>5.7765012829007247</v>
      </c>
    </row>
    <row r="51" spans="1:69" hidden="1" x14ac:dyDescent="0.2">
      <c r="A51" t="s">
        <v>163</v>
      </c>
      <c r="B51" t="s">
        <v>164</v>
      </c>
      <c r="C51" t="s">
        <v>71</v>
      </c>
      <c r="D51" t="s">
        <v>72</v>
      </c>
      <c r="Z51">
        <v>14.567519262063826</v>
      </c>
      <c r="AA51">
        <v>6.5297058546591131</v>
      </c>
      <c r="AB51">
        <v>15.207466223576944</v>
      </c>
      <c r="AC51">
        <v>6.1596636991002356</v>
      </c>
      <c r="AD51">
        <v>7.0713547589242154</v>
      </c>
      <c r="AE51">
        <v>7.3922763044852502</v>
      </c>
      <c r="AF51">
        <v>3.2232204203780981</v>
      </c>
      <c r="AG51">
        <v>1.9373061869664383</v>
      </c>
      <c r="AH51">
        <v>5.9606552478371952</v>
      </c>
      <c r="AI51">
        <v>2.1759123002758542</v>
      </c>
      <c r="AJ51">
        <v>8.1189051443011806</v>
      </c>
      <c r="AK51">
        <v>-6.764529310080988</v>
      </c>
      <c r="AL51">
        <v>2.8328237071293643</v>
      </c>
      <c r="AM51">
        <v>9.4169192692152848</v>
      </c>
      <c r="AN51">
        <v>8.3209744952185787</v>
      </c>
      <c r="AO51">
        <v>3.198700339136451</v>
      </c>
      <c r="AP51">
        <v>0.92436654960799558</v>
      </c>
      <c r="AQ51">
        <v>1.3466543714139902</v>
      </c>
      <c r="AR51">
        <v>5.8113604228332605</v>
      </c>
      <c r="AS51">
        <v>-4.4600245133590306</v>
      </c>
      <c r="AT51">
        <v>8.6299839892223673</v>
      </c>
      <c r="AU51">
        <v>4.1706559168441402</v>
      </c>
      <c r="AV51">
        <v>5.1118291762750232</v>
      </c>
      <c r="AW51">
        <v>3.3883617324946158</v>
      </c>
      <c r="AX51">
        <v>0.31588165822853398</v>
      </c>
      <c r="AY51">
        <v>3.1107637092896425</v>
      </c>
      <c r="AZ51">
        <v>3.5449226957637023</v>
      </c>
      <c r="BA51">
        <v>3.1442897986536451</v>
      </c>
      <c r="BB51">
        <v>-2.0924558248616023</v>
      </c>
      <c r="BC51">
        <v>0.68246215169722291</v>
      </c>
      <c r="BD51">
        <v>1.3479153591489705</v>
      </c>
      <c r="BE51">
        <v>1.1883766599640353</v>
      </c>
      <c r="BF51">
        <v>-2.4150459408046459</v>
      </c>
      <c r="BG51">
        <v>-0.90120220890247538</v>
      </c>
      <c r="BH51">
        <v>-1.3467417900602356</v>
      </c>
      <c r="BI51">
        <v>2.2496058646814419</v>
      </c>
      <c r="BJ51">
        <v>-1.2903631212318345</v>
      </c>
      <c r="BK51">
        <v>1.4274284776988821</v>
      </c>
      <c r="BL51">
        <v>2.3306549555590692</v>
      </c>
      <c r="BM51">
        <v>-3.3964762767648864</v>
      </c>
      <c r="BN51">
        <v>-0.31172945874237712</v>
      </c>
      <c r="BO51">
        <v>7.5975750247303324</v>
      </c>
      <c r="BP51">
        <v>5.6441347664764976</v>
      </c>
      <c r="BQ51">
        <v>4.4337632849974256</v>
      </c>
    </row>
    <row r="52" spans="1:69" hidden="1" x14ac:dyDescent="0.2">
      <c r="A52" t="s">
        <v>165</v>
      </c>
      <c r="B52" t="s">
        <v>166</v>
      </c>
      <c r="C52" t="s">
        <v>71</v>
      </c>
      <c r="D52" t="s">
        <v>72</v>
      </c>
      <c r="Z52">
        <v>9.5779751842200369</v>
      </c>
      <c r="AA52">
        <v>17.39334870250886</v>
      </c>
      <c r="AB52">
        <v>10.56381811177738</v>
      </c>
      <c r="AC52">
        <v>8.7665938913587382</v>
      </c>
      <c r="AD52">
        <v>3.6666578567752737</v>
      </c>
      <c r="AE52">
        <v>17.693395925677848</v>
      </c>
      <c r="AF52">
        <v>6.9623851461484918</v>
      </c>
      <c r="AG52">
        <v>5.4116078722622234</v>
      </c>
      <c r="AH52">
        <v>3.5848590412629164</v>
      </c>
      <c r="AI52">
        <v>2.3453103219062541</v>
      </c>
      <c r="AJ52">
        <v>4.7924188377657941</v>
      </c>
      <c r="AK52">
        <v>-4.1158447073259623</v>
      </c>
      <c r="AL52">
        <v>49.354086601107099</v>
      </c>
      <c r="AM52">
        <v>-29.172462155752527</v>
      </c>
      <c r="AN52">
        <v>-1.5468992990053749</v>
      </c>
      <c r="AO52">
        <v>-0.54613597943325942</v>
      </c>
      <c r="AP52">
        <v>-0.83529144865923399</v>
      </c>
      <c r="AQ52">
        <v>-0.33599058976861329</v>
      </c>
      <c r="AR52">
        <v>7.6120782777759501</v>
      </c>
      <c r="AS52">
        <v>-7.9011034716340163</v>
      </c>
      <c r="AT52">
        <v>5.1553349955739236</v>
      </c>
      <c r="AU52">
        <v>-0.3632088710868544</v>
      </c>
      <c r="AV52">
        <v>4.9210997371514509</v>
      </c>
      <c r="AW52">
        <v>-6.3325469946368997</v>
      </c>
      <c r="AX52">
        <v>-1.7948831697014782</v>
      </c>
      <c r="AY52">
        <v>4.6397709187093739</v>
      </c>
      <c r="AZ52">
        <v>18.568416793498159</v>
      </c>
      <c r="BA52">
        <v>3.7127437036789956</v>
      </c>
      <c r="BB52">
        <v>1.954558245136127</v>
      </c>
      <c r="BC52">
        <v>0.65441540609209881</v>
      </c>
      <c r="BD52">
        <v>2.7470408981606624</v>
      </c>
      <c r="BE52">
        <v>0.67760745662135946</v>
      </c>
      <c r="BF52">
        <v>1.4247601971565445</v>
      </c>
      <c r="BG52">
        <v>-0.10031997940701842</v>
      </c>
      <c r="BH52">
        <v>1.6204075588104274</v>
      </c>
      <c r="BI52">
        <v>1.6799247929921535</v>
      </c>
      <c r="BJ52">
        <v>1.2969136763506981</v>
      </c>
      <c r="BK52">
        <v>1.7041711914481397</v>
      </c>
      <c r="BL52">
        <v>0.69487119108842421</v>
      </c>
      <c r="BM52">
        <v>0.36616042643109381</v>
      </c>
      <c r="BN52">
        <v>1.3499011255834432</v>
      </c>
      <c r="BO52">
        <v>6.3431904043866894</v>
      </c>
      <c r="BP52">
        <v>4.096329475524783</v>
      </c>
      <c r="BQ52">
        <v>1.7230673823484608</v>
      </c>
    </row>
    <row r="53" spans="1:69" hidden="1" x14ac:dyDescent="0.2">
      <c r="A53" t="s">
        <v>167</v>
      </c>
      <c r="B53" t="s">
        <v>168</v>
      </c>
      <c r="C53" t="s">
        <v>71</v>
      </c>
      <c r="D53" t="s">
        <v>72</v>
      </c>
      <c r="F53">
        <v>0.51621359451254989</v>
      </c>
      <c r="G53">
        <v>3.1688059176306922</v>
      </c>
      <c r="H53">
        <v>-6.5790708112416496E-2</v>
      </c>
      <c r="I53">
        <v>2.2511767176888213</v>
      </c>
      <c r="J53">
        <v>0.634499412707342</v>
      </c>
      <c r="K53">
        <v>2.0491182124887359</v>
      </c>
      <c r="L53">
        <v>2.2778006962321342</v>
      </c>
      <c r="M53">
        <v>1.9925286690194071</v>
      </c>
      <c r="N53">
        <v>4.5680615559389253</v>
      </c>
      <c r="O53">
        <v>7.3174734613971282</v>
      </c>
      <c r="P53">
        <v>2.4435497216701521</v>
      </c>
      <c r="Q53">
        <v>6.4130891665414254</v>
      </c>
      <c r="R53">
        <v>14.840421142209578</v>
      </c>
      <c r="S53">
        <v>23.21302672283305</v>
      </c>
      <c r="T53">
        <v>24.540889814963023</v>
      </c>
      <c r="U53">
        <v>16.60178169786694</v>
      </c>
      <c r="V53">
        <v>16.93877814388685</v>
      </c>
      <c r="W53">
        <v>7.9084815307926277</v>
      </c>
      <c r="X53">
        <v>9.1499682196680254</v>
      </c>
      <c r="Y53">
        <v>18.829580408312225</v>
      </c>
      <c r="Z53">
        <v>41.102148614046712</v>
      </c>
      <c r="AA53">
        <v>84.171889396047476</v>
      </c>
      <c r="AB53">
        <v>28.931507692581562</v>
      </c>
      <c r="AC53">
        <v>16.694506313104696</v>
      </c>
      <c r="AD53">
        <v>20.545214663163861</v>
      </c>
      <c r="AE53">
        <v>18.04992351872275</v>
      </c>
      <c r="AF53">
        <v>10.14438326894971</v>
      </c>
      <c r="AG53">
        <v>18.83927342819743</v>
      </c>
      <c r="AH53">
        <v>15.248319453039485</v>
      </c>
      <c r="AI53">
        <v>18.547900299178011</v>
      </c>
      <c r="AJ53">
        <v>64.774686664466429</v>
      </c>
      <c r="AK53">
        <v>19.728853138956609</v>
      </c>
      <c r="AL53">
        <v>10.435572162094658</v>
      </c>
      <c r="AM53">
        <v>15.670477341558069</v>
      </c>
      <c r="AN53">
        <v>21.236243791517623</v>
      </c>
      <c r="AO53">
        <v>15.075066884479199</v>
      </c>
      <c r="AP53">
        <v>14.679892923578279</v>
      </c>
      <c r="AQ53">
        <v>11.938194929375996</v>
      </c>
      <c r="AR53">
        <v>11.029471378905839</v>
      </c>
      <c r="AS53">
        <v>9.3897135476300235</v>
      </c>
      <c r="AT53">
        <v>9.7209378573414114</v>
      </c>
      <c r="AU53">
        <v>9.7868862829989354</v>
      </c>
      <c r="AV53">
        <v>10.648236987928811</v>
      </c>
      <c r="AW53">
        <v>13.350349431483522</v>
      </c>
      <c r="AX53">
        <v>13.013325444044213</v>
      </c>
      <c r="AY53">
        <v>12.984310487293143</v>
      </c>
      <c r="AZ53">
        <v>10.51678594738776</v>
      </c>
      <c r="BA53">
        <v>11.423785785043663</v>
      </c>
      <c r="BB53">
        <v>9.7013309177615241</v>
      </c>
      <c r="BC53">
        <v>6.6288448617936666</v>
      </c>
      <c r="BD53">
        <v>4.5932251408881513</v>
      </c>
      <c r="BE53">
        <v>4.7336329722770074</v>
      </c>
      <c r="BF53">
        <v>4.5902116746559471</v>
      </c>
      <c r="BG53">
        <v>6.2069204201687711</v>
      </c>
      <c r="BH53">
        <v>3.9552153971596198</v>
      </c>
      <c r="BI53">
        <v>1.958764802126197</v>
      </c>
      <c r="BJ53">
        <v>2.8588837278813628</v>
      </c>
      <c r="BK53">
        <v>2.1924784279335086</v>
      </c>
      <c r="BL53">
        <v>2.5667921174216843</v>
      </c>
      <c r="BM53">
        <v>0.77259324698235332</v>
      </c>
      <c r="BN53">
        <v>2.3741308259817231</v>
      </c>
      <c r="BO53">
        <v>6.2803851368549175</v>
      </c>
      <c r="BP53">
        <v>-8.7922597116346424E-2</v>
      </c>
      <c r="BQ53">
        <v>4.7106446891405085E-2</v>
      </c>
    </row>
    <row r="54" spans="1:69" hidden="1" x14ac:dyDescent="0.2">
      <c r="A54" t="s">
        <v>169</v>
      </c>
      <c r="B54" t="s">
        <v>170</v>
      </c>
      <c r="C54" t="s">
        <v>71</v>
      </c>
      <c r="D54" t="s">
        <v>72</v>
      </c>
      <c r="F54">
        <v>1.7630270463230318</v>
      </c>
      <c r="G54">
        <v>1.3569645063815585</v>
      </c>
      <c r="H54">
        <v>2.6868991242928928</v>
      </c>
      <c r="I54">
        <v>0.19625493510126546</v>
      </c>
      <c r="J54">
        <v>2.0117277457194263</v>
      </c>
      <c r="K54">
        <v>3.6334666820433199</v>
      </c>
      <c r="L54">
        <v>4.6095236147895946</v>
      </c>
      <c r="M54">
        <v>5.1634807964522338</v>
      </c>
      <c r="N54">
        <v>2.9496165458500627</v>
      </c>
      <c r="O54">
        <v>3.0898646220148862</v>
      </c>
      <c r="P54">
        <v>5.0639036169399958</v>
      </c>
      <c r="Q54">
        <v>6.7866589009426264</v>
      </c>
      <c r="R54">
        <v>14.676270880540727</v>
      </c>
      <c r="S54">
        <v>25.447625441696047</v>
      </c>
      <c r="T54">
        <v>15.469143499776436</v>
      </c>
      <c r="U54">
        <v>2.3896652671090663</v>
      </c>
      <c r="V54">
        <v>9.7503357565394566</v>
      </c>
      <c r="W54">
        <v>7.5545559717990329</v>
      </c>
      <c r="X54">
        <v>10.625525795503961</v>
      </c>
      <c r="Y54">
        <v>11.778793246548091</v>
      </c>
      <c r="Z54">
        <v>7.287906945750116</v>
      </c>
      <c r="AA54">
        <v>5.2408506994598412</v>
      </c>
      <c r="AB54">
        <v>5.5390849102679311</v>
      </c>
      <c r="AC54">
        <v>5.5969751211820267</v>
      </c>
      <c r="AD54">
        <v>4.0813890243076898</v>
      </c>
      <c r="AE54">
        <v>4.5335384034562551</v>
      </c>
      <c r="AF54">
        <v>6.9620589251130411</v>
      </c>
      <c r="AG54">
        <v>4.3284153661105833</v>
      </c>
      <c r="AH54">
        <v>6.2562571752768932</v>
      </c>
      <c r="AI54">
        <v>6.272850745882252</v>
      </c>
      <c r="AJ54">
        <v>4.6609696813563275</v>
      </c>
      <c r="AK54">
        <v>3.671127552768823</v>
      </c>
      <c r="AL54">
        <v>2.1533303164001367</v>
      </c>
      <c r="AM54">
        <v>3.3895082086326482</v>
      </c>
      <c r="AN54">
        <v>3.0506372611657326</v>
      </c>
      <c r="AO54">
        <v>2.7095580469561042</v>
      </c>
      <c r="AP54">
        <v>1.4692839860847684</v>
      </c>
      <c r="AQ54">
        <v>2.7404386279766371</v>
      </c>
      <c r="AR54">
        <v>2.6582055534303493</v>
      </c>
      <c r="AS54">
        <v>1.4899015044485111</v>
      </c>
      <c r="AT54">
        <v>2.1997833305487688</v>
      </c>
      <c r="AU54">
        <v>1.0911535050140984</v>
      </c>
      <c r="AV54">
        <v>1.1353755984070943</v>
      </c>
      <c r="AW54">
        <v>3.0479370669175267</v>
      </c>
      <c r="AX54">
        <v>4.86725336490926</v>
      </c>
      <c r="AY54">
        <v>3.8993216223073475</v>
      </c>
      <c r="AZ54">
        <v>5.3468488304804467</v>
      </c>
      <c r="BA54">
        <v>3.0691741032800266</v>
      </c>
      <c r="BB54">
        <v>0.15426836689856316</v>
      </c>
      <c r="BC54">
        <v>3.1103946382138901</v>
      </c>
      <c r="BD54">
        <v>2.3583292446193411</v>
      </c>
      <c r="BE54">
        <v>1.4715072414605004</v>
      </c>
      <c r="BF54">
        <v>1.9636532447506312</v>
      </c>
      <c r="BG54">
        <v>1.1576052776332091</v>
      </c>
      <c r="BH54">
        <v>2.7800967996916057</v>
      </c>
      <c r="BI54">
        <v>1.0497505758952812</v>
      </c>
      <c r="BJ54">
        <v>2.6022269197815362</v>
      </c>
      <c r="BK54">
        <v>0.80867749505252107</v>
      </c>
      <c r="BL54">
        <v>2.2100364014290363</v>
      </c>
      <c r="BM54">
        <v>-1.5659705764749177</v>
      </c>
      <c r="BN54">
        <v>2.5597682622133107</v>
      </c>
      <c r="BO54">
        <v>5.4996770661651695</v>
      </c>
      <c r="BP54">
        <v>3.0480674566403891</v>
      </c>
      <c r="BQ54">
        <v>2.3862215011990457</v>
      </c>
    </row>
    <row r="55" spans="1:69" hidden="1" x14ac:dyDescent="0.2">
      <c r="A55" t="s">
        <v>171</v>
      </c>
      <c r="B55" t="s">
        <v>172</v>
      </c>
      <c r="C55" t="s">
        <v>71</v>
      </c>
      <c r="D55" t="s">
        <v>72</v>
      </c>
      <c r="P55">
        <v>11.857182806115588</v>
      </c>
      <c r="Q55">
        <v>6.9586537474731358</v>
      </c>
      <c r="R55">
        <v>3.2515439570664597</v>
      </c>
      <c r="S55">
        <v>11.858881124134243</v>
      </c>
      <c r="T55">
        <v>4.3292062310920585</v>
      </c>
      <c r="U55">
        <v>0.52319393838222084</v>
      </c>
      <c r="V55">
        <v>-4.1939243774691448</v>
      </c>
      <c r="W55">
        <v>9.3212150510617988</v>
      </c>
      <c r="X55">
        <v>2.9280140194251913</v>
      </c>
      <c r="Y55">
        <v>5.3953285718984603</v>
      </c>
      <c r="Z55">
        <v>-2.5369477140830554</v>
      </c>
      <c r="AA55">
        <v>-2.2275495472442515</v>
      </c>
      <c r="AB55">
        <v>1.5966038871106889</v>
      </c>
      <c r="AC55">
        <v>2.5843897754317595</v>
      </c>
      <c r="AD55">
        <v>-2.1575351724759599</v>
      </c>
      <c r="AE55">
        <v>-3.9140610420045903</v>
      </c>
      <c r="AF55">
        <v>0.6104853874295344</v>
      </c>
      <c r="AG55">
        <v>1.2332204045959259</v>
      </c>
      <c r="AH55">
        <v>0.62484395052292996</v>
      </c>
      <c r="AI55">
        <v>5.2612745720604437</v>
      </c>
      <c r="AJ55">
        <v>-7.3878434552455019</v>
      </c>
      <c r="AK55">
        <v>3.7457213436469203</v>
      </c>
      <c r="AL55">
        <v>18.975491835044139</v>
      </c>
      <c r="AM55">
        <v>26.282031722522419</v>
      </c>
      <c r="AN55">
        <v>10.508667229749122</v>
      </c>
      <c r="AO55">
        <v>-2.6716168630163963</v>
      </c>
      <c r="AP55">
        <v>-1.3525871091815418</v>
      </c>
      <c r="AQ55">
        <v>1.2991051754005127</v>
      </c>
      <c r="AR55">
        <v>3.7890959667635542</v>
      </c>
      <c r="AS55">
        <v>1.7411635927369105</v>
      </c>
      <c r="AT55">
        <v>0.45493911213958427</v>
      </c>
      <c r="AU55">
        <v>4.5331757592785777</v>
      </c>
      <c r="AV55">
        <v>2.9735105432378504</v>
      </c>
      <c r="AW55">
        <v>0.60597855920229904</v>
      </c>
      <c r="AX55">
        <v>0.38008072922499991</v>
      </c>
      <c r="AY55">
        <v>10.36556120050227</v>
      </c>
      <c r="AZ55">
        <v>3.5897754619145843</v>
      </c>
      <c r="BA55">
        <v>-0.34453256681308631</v>
      </c>
      <c r="BB55">
        <v>0.63417502065715325</v>
      </c>
      <c r="BC55">
        <v>1.2020485294816865</v>
      </c>
      <c r="BD55">
        <v>4.3237671322372506</v>
      </c>
      <c r="BE55">
        <v>2.9140578048515238</v>
      </c>
      <c r="BF55">
        <v>2.6578302396626441</v>
      </c>
      <c r="BG55">
        <v>3.4633757412947404</v>
      </c>
      <c r="BH55">
        <v>3.4390487630235214</v>
      </c>
      <c r="BI55">
        <v>4.3283492431374242</v>
      </c>
      <c r="BJ55">
        <v>4.1135909011628371</v>
      </c>
      <c r="BK55">
        <v>1.0322693349190217</v>
      </c>
      <c r="BL55">
        <v>3.5447429944834425</v>
      </c>
      <c r="BM55">
        <v>16.555962616722468</v>
      </c>
      <c r="BN55">
        <v>401.59119126365613</v>
      </c>
      <c r="BO55">
        <v>14.092234704906062</v>
      </c>
      <c r="BP55">
        <v>40.000708656872263</v>
      </c>
    </row>
    <row r="56" spans="1:69" hidden="1" x14ac:dyDescent="0.2">
      <c r="A56" t="s">
        <v>173</v>
      </c>
      <c r="B56" t="s">
        <v>174</v>
      </c>
      <c r="C56" t="s">
        <v>71</v>
      </c>
      <c r="D56" t="s">
        <v>72</v>
      </c>
      <c r="AT56">
        <v>1.789998571188363</v>
      </c>
      <c r="AU56">
        <v>0.41000123382973186</v>
      </c>
      <c r="AV56">
        <v>1.6199998578808845</v>
      </c>
      <c r="AW56">
        <v>1.3800000690180809</v>
      </c>
      <c r="AX56">
        <v>4.1000007530757046</v>
      </c>
      <c r="AY56">
        <v>3.1300009584905126</v>
      </c>
      <c r="AZ56">
        <v>2.9999967654499926</v>
      </c>
      <c r="BA56">
        <v>6.9000028505030002</v>
      </c>
      <c r="BB56">
        <v>1.7999979299586641</v>
      </c>
      <c r="BC56">
        <v>2.7799999286435906</v>
      </c>
      <c r="BD56">
        <v>-1.2222729182489616</v>
      </c>
      <c r="BE56">
        <v>3.1840005911341791</v>
      </c>
      <c r="BF56">
        <v>1.3323001564293975</v>
      </c>
      <c r="BG56">
        <v>1.4986986981126762</v>
      </c>
      <c r="BH56">
        <v>-0.47648769292514714</v>
      </c>
      <c r="BI56">
        <v>-4.7261999162387269E-2</v>
      </c>
      <c r="BJ56">
        <v>1.5854991702722145</v>
      </c>
      <c r="BK56">
        <v>2.5847996574921694</v>
      </c>
      <c r="BL56">
        <v>2.6259005074320072</v>
      </c>
      <c r="BM56">
        <v>2.6811332788404911</v>
      </c>
      <c r="BN56">
        <v>3.7585000000003248</v>
      </c>
      <c r="BO56">
        <v>4.0088721012015043</v>
      </c>
      <c r="BP56">
        <v>2.4035518528285849</v>
      </c>
    </row>
    <row r="57" spans="1:69" hidden="1" x14ac:dyDescent="0.2">
      <c r="A57" t="s">
        <v>175</v>
      </c>
      <c r="B57" t="s">
        <v>176</v>
      </c>
      <c r="C57" t="s">
        <v>71</v>
      </c>
      <c r="D57" t="s">
        <v>72</v>
      </c>
      <c r="AZ57">
        <v>3.0728485342996521</v>
      </c>
      <c r="BA57">
        <v>3.0477274949771243</v>
      </c>
      <c r="BB57">
        <v>0.6103757810693935</v>
      </c>
      <c r="BC57">
        <v>-0.20640583789077027</v>
      </c>
      <c r="BD57">
        <v>-0.46045298844830995</v>
      </c>
      <c r="BE57">
        <v>1.2614131710076748</v>
      </c>
      <c r="BF57">
        <v>1.3782033158817626</v>
      </c>
      <c r="BG57">
        <v>0.88672837836342921</v>
      </c>
      <c r="BH57">
        <v>0.34190056772067123</v>
      </c>
      <c r="BI57">
        <v>1.0000923325472684</v>
      </c>
      <c r="BJ57">
        <v>1.9867982463049856</v>
      </c>
      <c r="BK57">
        <v>2.6627994992063151</v>
      </c>
      <c r="BL57">
        <v>3.3963120394099064</v>
      </c>
      <c r="BM57">
        <v>0.13936973213874637</v>
      </c>
      <c r="BN57">
        <v>2.1453321619355989</v>
      </c>
      <c r="BO57">
        <v>3.5832475997338094</v>
      </c>
      <c r="BP57">
        <v>3.6409209685462685</v>
      </c>
    </row>
    <row r="58" spans="1:69" hidden="1" x14ac:dyDescent="0.2">
      <c r="A58" t="s">
        <v>177</v>
      </c>
      <c r="B58" t="s">
        <v>178</v>
      </c>
      <c r="C58" t="s">
        <v>71</v>
      </c>
      <c r="D58" t="s">
        <v>72</v>
      </c>
      <c r="U58">
        <v>8.028744420160578</v>
      </c>
      <c r="V58">
        <v>8.8968857355183673</v>
      </c>
      <c r="W58">
        <v>11.073044271223822</v>
      </c>
      <c r="X58">
        <v>13.136704986929132</v>
      </c>
      <c r="Y58">
        <v>14.153343454789024</v>
      </c>
      <c r="Z58">
        <v>12.388852290121164</v>
      </c>
      <c r="AA58">
        <v>10.352600368022607</v>
      </c>
      <c r="AB58">
        <v>5.0446041127361241</v>
      </c>
      <c r="AC58">
        <v>8.181919731057576</v>
      </c>
      <c r="AD58">
        <v>5.6677086377763288</v>
      </c>
      <c r="AE58">
        <v>4.1506689381306785</v>
      </c>
      <c r="AF58">
        <v>3.8618487038022238</v>
      </c>
      <c r="AG58">
        <v>3.1936926532237067</v>
      </c>
      <c r="AH58">
        <v>4.7517439305603943</v>
      </c>
      <c r="AI58">
        <v>5.4331249458897446</v>
      </c>
      <c r="AJ58">
        <v>3.8880061657061447</v>
      </c>
      <c r="AK58">
        <v>6.0413822763755434</v>
      </c>
      <c r="AL58">
        <v>4.8031329873566335</v>
      </c>
      <c r="AM58">
        <v>5.2709823427596518</v>
      </c>
      <c r="AN58">
        <v>13.597851226409247</v>
      </c>
      <c r="AO58">
        <v>2.6409730826058251</v>
      </c>
      <c r="AP58">
        <v>2.2368854925982902</v>
      </c>
      <c r="AQ58">
        <v>1.9656805317260932</v>
      </c>
      <c r="AR58">
        <v>2.3019757955144371</v>
      </c>
      <c r="AS58">
        <v>2.7434513220336783</v>
      </c>
      <c r="AT58">
        <v>3.6602915171235253</v>
      </c>
      <c r="AU58">
        <v>0.29637825232642001</v>
      </c>
      <c r="AV58">
        <v>5.3876840662457397</v>
      </c>
      <c r="AW58">
        <v>2.7092988702389817</v>
      </c>
      <c r="AX58">
        <v>2.0195251368900529</v>
      </c>
      <c r="AY58">
        <v>3.0861063891330218</v>
      </c>
      <c r="AZ58">
        <v>4.1380543649480472</v>
      </c>
      <c r="BA58">
        <v>4.7346241689499635</v>
      </c>
      <c r="BB58">
        <v>0.26289894875174014</v>
      </c>
      <c r="BC58">
        <v>1.8813820394331771</v>
      </c>
      <c r="BD58">
        <v>1.6162499052218209</v>
      </c>
      <c r="BE58">
        <v>1.6787793100922102</v>
      </c>
      <c r="BF58">
        <v>-0.93773894996434137</v>
      </c>
      <c r="BG58">
        <v>-1.3382657310592236</v>
      </c>
      <c r="BH58">
        <v>-0.75423143045232166</v>
      </c>
      <c r="BI58">
        <v>-0.57474249424245727</v>
      </c>
      <c r="BJ58">
        <v>1.0203937629053286</v>
      </c>
      <c r="BK58">
        <v>1.0257536046091218</v>
      </c>
      <c r="BL58">
        <v>1.3500864369690362</v>
      </c>
      <c r="BM58">
        <v>-1.2079243522224345</v>
      </c>
      <c r="BN58">
        <v>3.0427302229634421</v>
      </c>
      <c r="BO58">
        <v>6.7092667026663833</v>
      </c>
      <c r="BP58">
        <v>3.8122182610381259</v>
      </c>
      <c r="BQ58">
        <v>3.5381962282177142</v>
      </c>
    </row>
    <row r="59" spans="1:69" hidden="1" x14ac:dyDescent="0.2">
      <c r="A59" t="s">
        <v>179</v>
      </c>
      <c r="B59" t="s">
        <v>180</v>
      </c>
      <c r="C59" t="s">
        <v>71</v>
      </c>
      <c r="D59" t="s">
        <v>72</v>
      </c>
      <c r="AJ59">
        <v>36.192388597345797</v>
      </c>
      <c r="AK59">
        <v>12.357262607791156</v>
      </c>
      <c r="AL59">
        <v>21.008802915181462</v>
      </c>
      <c r="AM59">
        <v>12.341966560288299</v>
      </c>
      <c r="AN59">
        <v>9.1073666590969111</v>
      </c>
      <c r="AO59">
        <v>9.9098734157940527</v>
      </c>
      <c r="AP59">
        <v>8.3534453878827151</v>
      </c>
      <c r="AQ59">
        <v>9.837538596601064</v>
      </c>
      <c r="AR59">
        <v>3.1151814688411719</v>
      </c>
      <c r="AS59">
        <v>1.7594754984974657</v>
      </c>
      <c r="AT59">
        <v>4.9345774817179091</v>
      </c>
      <c r="AU59">
        <v>2.8002766266995422</v>
      </c>
      <c r="AV59">
        <v>1.4124809934555884</v>
      </c>
      <c r="AW59">
        <v>4.0571106002064425</v>
      </c>
      <c r="AX59">
        <v>0.11780116913591598</v>
      </c>
      <c r="AY59">
        <v>0.68324016728089987</v>
      </c>
      <c r="AZ59">
        <v>3.5608713874513427</v>
      </c>
      <c r="BA59">
        <v>2.02633115006401</v>
      </c>
      <c r="BB59">
        <v>2.6451858286919929</v>
      </c>
      <c r="BC59">
        <v>-0.485125297413731</v>
      </c>
      <c r="BD59">
        <v>-0.2211334160370626</v>
      </c>
      <c r="BE59">
        <v>1.3433901008586275</v>
      </c>
      <c r="BF59">
        <v>1.2715877867745036</v>
      </c>
      <c r="BG59">
        <v>2.7067159395822955</v>
      </c>
      <c r="BH59">
        <v>1.2345364585961249</v>
      </c>
      <c r="BI59">
        <v>1.4912339100467591</v>
      </c>
      <c r="BJ59">
        <v>1.6836205033357032</v>
      </c>
      <c r="BK59">
        <v>2.8133598000173521</v>
      </c>
      <c r="BL59">
        <v>3.8413178989086987</v>
      </c>
      <c r="BM59">
        <v>4.5162322340673597</v>
      </c>
      <c r="BN59">
        <v>4.0344263749719147</v>
      </c>
      <c r="BO59">
        <v>8.6711008796706466</v>
      </c>
      <c r="BP59">
        <v>8.1259413663601805</v>
      </c>
      <c r="BQ59">
        <v>3.9820712639381526</v>
      </c>
    </row>
    <row r="60" spans="1:69" hidden="1" x14ac:dyDescent="0.2">
      <c r="A60" t="s">
        <v>181</v>
      </c>
      <c r="B60" t="s">
        <v>182</v>
      </c>
      <c r="C60" t="s">
        <v>71</v>
      </c>
      <c r="D60" t="s">
        <v>72</v>
      </c>
      <c r="F60">
        <v>5.0639948359522862</v>
      </c>
      <c r="G60">
        <v>3.957266482048766</v>
      </c>
      <c r="H60">
        <v>3.1624704179470768</v>
      </c>
      <c r="I60">
        <v>3.0465668976445386</v>
      </c>
      <c r="J60">
        <v>3.8341366814107971</v>
      </c>
      <c r="K60">
        <v>3.4204062354786799</v>
      </c>
      <c r="L60">
        <v>1.5890553796197366</v>
      </c>
      <c r="M60">
        <v>2.08783593508916</v>
      </c>
      <c r="N60">
        <v>4.2089879499471294</v>
      </c>
      <c r="O60">
        <v>7.6324344377610913</v>
      </c>
      <c r="P60">
        <v>7.6213364117120364</v>
      </c>
      <c r="Q60">
        <v>4.5318570816372841</v>
      </c>
      <c r="R60">
        <v>6.2995137089602622</v>
      </c>
      <c r="S60">
        <v>7.2752902480692114</v>
      </c>
      <c r="T60">
        <v>5.6666237066287835</v>
      </c>
      <c r="U60">
        <v>3.3061944734538145</v>
      </c>
      <c r="V60">
        <v>3.1007182004563276</v>
      </c>
      <c r="W60">
        <v>3.5458418268247982</v>
      </c>
      <c r="X60">
        <v>4.2781406354856983</v>
      </c>
      <c r="Y60">
        <v>5.4511894212676282</v>
      </c>
      <c r="Z60">
        <v>4.175238726494328</v>
      </c>
      <c r="AA60">
        <v>4.5810586644518452</v>
      </c>
      <c r="AB60">
        <v>2.8079385246138742</v>
      </c>
      <c r="AC60">
        <v>1.9891462719387079</v>
      </c>
      <c r="AD60">
        <v>2.1247257479587063</v>
      </c>
      <c r="AE60">
        <v>2.9995431168405702</v>
      </c>
      <c r="AF60">
        <v>1.2796635515186523</v>
      </c>
      <c r="AG60">
        <v>1.6904613323433892</v>
      </c>
      <c r="AH60">
        <v>2.8790667057823498</v>
      </c>
      <c r="AI60">
        <v>3.3966435195045932</v>
      </c>
      <c r="AJ60">
        <v>3.0850797526062337</v>
      </c>
      <c r="AK60">
        <v>5.3103248066840081</v>
      </c>
      <c r="AL60">
        <v>3.7851772535469621</v>
      </c>
      <c r="AM60">
        <v>1.9429742649091679</v>
      </c>
      <c r="AN60">
        <v>1.8352645390405513</v>
      </c>
      <c r="AO60">
        <v>0.46392552801223985</v>
      </c>
      <c r="AP60">
        <v>0.14502320687563497</v>
      </c>
      <c r="AQ60">
        <v>0.6918256582397504</v>
      </c>
      <c r="AR60">
        <v>0.57386019459579529</v>
      </c>
      <c r="AS60">
        <v>-0.34381276475600941</v>
      </c>
      <c r="AT60">
        <v>1.4329895229821403</v>
      </c>
      <c r="AU60">
        <v>1.499308782081485</v>
      </c>
      <c r="AV60">
        <v>1.3217816727150193</v>
      </c>
      <c r="AW60">
        <v>1.155059278448789</v>
      </c>
      <c r="AX60">
        <v>0.53431650513245188</v>
      </c>
      <c r="AY60">
        <v>0.44699982539854943</v>
      </c>
      <c r="AZ60">
        <v>1.8395550342745111</v>
      </c>
      <c r="BA60">
        <v>0.94783988234479466</v>
      </c>
      <c r="BB60">
        <v>1.9947040742920024</v>
      </c>
      <c r="BC60">
        <v>0.6824985501647518</v>
      </c>
      <c r="BD60">
        <v>1.2319349009084419</v>
      </c>
      <c r="BE60">
        <v>1.4320763995268209</v>
      </c>
      <c r="BF60">
        <v>1.9950316033646232</v>
      </c>
      <c r="BG60">
        <v>1.9008249044621124</v>
      </c>
      <c r="BH60">
        <v>1.6853977682187207</v>
      </c>
      <c r="BI60">
        <v>1.2562586362905677</v>
      </c>
      <c r="BJ60">
        <v>1.4679891672696215</v>
      </c>
      <c r="BK60">
        <v>1.865334231512648</v>
      </c>
      <c r="BL60">
        <v>2.0159761227632771</v>
      </c>
      <c r="BM60">
        <v>1.7550459987326121</v>
      </c>
      <c r="BN60">
        <v>2.8029293659014769</v>
      </c>
      <c r="BO60">
        <v>6.0918566319841432</v>
      </c>
      <c r="BP60">
        <v>6.1429165207644161</v>
      </c>
      <c r="BQ60">
        <v>3.1060136609920193</v>
      </c>
    </row>
    <row r="61" spans="1:69" hidden="1" x14ac:dyDescent="0.2">
      <c r="A61" t="s">
        <v>183</v>
      </c>
      <c r="B61" t="s">
        <v>184</v>
      </c>
      <c r="C61" t="s">
        <v>71</v>
      </c>
      <c r="D61" t="s">
        <v>72</v>
      </c>
      <c r="BG61">
        <v>1.3297387508825977</v>
      </c>
      <c r="BH61">
        <v>1.7393488019640415</v>
      </c>
      <c r="BI61">
        <v>0.30278233357225304</v>
      </c>
      <c r="BJ61">
        <v>0.56223153028216188</v>
      </c>
      <c r="BK61">
        <v>0.6560190486443247</v>
      </c>
      <c r="BL61">
        <v>0.44984516150007892</v>
      </c>
      <c r="BM61">
        <v>0.58071954807013526</v>
      </c>
      <c r="BN61">
        <v>3.3537527249614385</v>
      </c>
      <c r="BO61">
        <v>-0.14775859215451703</v>
      </c>
      <c r="BP61">
        <v>2.3966297961745653</v>
      </c>
      <c r="BQ61">
        <v>-1.5412656499422468</v>
      </c>
    </row>
    <row r="62" spans="1:69" hidden="1" x14ac:dyDescent="0.2">
      <c r="A62" t="s">
        <v>185</v>
      </c>
      <c r="B62" t="s">
        <v>186</v>
      </c>
      <c r="C62" t="s">
        <v>71</v>
      </c>
      <c r="D62" t="s">
        <v>72</v>
      </c>
      <c r="W62">
        <v>12.669527234427889</v>
      </c>
      <c r="X62">
        <v>17.95877007804188</v>
      </c>
      <c r="Y62">
        <v>16.709874234459093</v>
      </c>
      <c r="Z62">
        <v>1.7579625243177475</v>
      </c>
      <c r="AA62">
        <v>4.7148727121992096</v>
      </c>
      <c r="AB62">
        <v>7.4594748855842283</v>
      </c>
      <c r="AC62">
        <v>6.17790852596886</v>
      </c>
      <c r="AD62">
        <v>7.9342086418820941</v>
      </c>
      <c r="AE62">
        <v>5.641478852463905</v>
      </c>
      <c r="AF62">
        <v>5.6938701407282792</v>
      </c>
      <c r="AG62">
        <v>4.4988593504496066</v>
      </c>
      <c r="AH62">
        <v>8.407411627523615</v>
      </c>
      <c r="AI62">
        <v>3.2083553806665321</v>
      </c>
      <c r="AJ62">
        <v>7.6507281946486501</v>
      </c>
      <c r="AK62">
        <v>4.3868765905883436</v>
      </c>
      <c r="AL62">
        <v>2.6797104993556218</v>
      </c>
      <c r="AM62">
        <v>7.6395270251399978</v>
      </c>
      <c r="AN62">
        <v>0.78393391698656956</v>
      </c>
      <c r="AO62">
        <v>3.2649480823637731</v>
      </c>
      <c r="AP62">
        <v>1.444868203657748</v>
      </c>
      <c r="AQ62">
        <v>2.5401129320574256</v>
      </c>
      <c r="AR62">
        <v>2.5363899114323942</v>
      </c>
      <c r="AS62">
        <v>-1.7827306058833443</v>
      </c>
      <c r="AT62">
        <v>13.264667775255717</v>
      </c>
      <c r="AU62">
        <v>2.5671603519911343</v>
      </c>
      <c r="AV62">
        <v>-5.9604161773100088</v>
      </c>
      <c r="AW62">
        <v>2.0829299811616409</v>
      </c>
      <c r="AX62">
        <v>-2.2197509298712959</v>
      </c>
      <c r="AY62">
        <v>1.9554148962274525</v>
      </c>
      <c r="AZ62">
        <v>1.2952128987752616</v>
      </c>
      <c r="BA62">
        <v>0.76646967650124509</v>
      </c>
      <c r="BB62">
        <v>8.6537321814545578</v>
      </c>
      <c r="BC62">
        <v>0.9290490618958529</v>
      </c>
      <c r="BD62">
        <v>2.307338659431494</v>
      </c>
      <c r="BE62">
        <v>-2.0496180190215085</v>
      </c>
      <c r="BF62">
        <v>4.793993212000629</v>
      </c>
      <c r="BG62">
        <v>2.543646131824957</v>
      </c>
      <c r="BH62">
        <v>5.4664123097656727</v>
      </c>
      <c r="BI62">
        <v>3.5653624829176778</v>
      </c>
      <c r="BJ62">
        <v>-0.55259985421692193</v>
      </c>
      <c r="BK62">
        <v>8.3080220372634841</v>
      </c>
      <c r="BL62">
        <v>-1.3458255587756582</v>
      </c>
      <c r="BM62">
        <v>-2.6009318734602402</v>
      </c>
      <c r="BN62">
        <v>0.9885723841605909</v>
      </c>
      <c r="BO62">
        <v>0.26182367844941723</v>
      </c>
      <c r="BP62">
        <v>2.0892214900023447</v>
      </c>
      <c r="BQ62">
        <v>2.3833775225553495</v>
      </c>
    </row>
    <row r="63" spans="1:69" hidden="1" x14ac:dyDescent="0.2">
      <c r="A63" t="s">
        <v>187</v>
      </c>
      <c r="B63" t="s">
        <v>188</v>
      </c>
      <c r="C63" t="s">
        <v>71</v>
      </c>
      <c r="D63" t="s">
        <v>72</v>
      </c>
      <c r="F63">
        <v>4.3066253824500791</v>
      </c>
      <c r="G63">
        <v>6.6359046925053633</v>
      </c>
      <c r="H63">
        <v>5.7734848027033934</v>
      </c>
      <c r="I63">
        <v>4.6110312225673908</v>
      </c>
      <c r="J63">
        <v>7.4364697860569891</v>
      </c>
      <c r="K63">
        <v>6.832658722879998</v>
      </c>
      <c r="L63">
        <v>4.1031718351175073</v>
      </c>
      <c r="M63">
        <v>5.3332937764398736</v>
      </c>
      <c r="N63">
        <v>6.8710458714399891</v>
      </c>
      <c r="O63">
        <v>8.7539258529035351</v>
      </c>
      <c r="P63">
        <v>7.2684046597364187</v>
      </c>
      <c r="Q63">
        <v>9.7295635547806967</v>
      </c>
      <c r="R63">
        <v>9.9220198582839885</v>
      </c>
      <c r="S63">
        <v>13.01638519672548</v>
      </c>
      <c r="T63">
        <v>13.262028067848732</v>
      </c>
      <c r="U63">
        <v>9.2815220186309517</v>
      </c>
      <c r="V63">
        <v>8.7706834533021407</v>
      </c>
      <c r="W63">
        <v>8.8334653229959201</v>
      </c>
      <c r="X63">
        <v>6.9956486306033838</v>
      </c>
      <c r="Y63">
        <v>8.5784277126986268</v>
      </c>
      <c r="Z63">
        <v>10.520730736175452</v>
      </c>
      <c r="AA63">
        <v>10.069869013926052</v>
      </c>
      <c r="AB63">
        <v>7.3533485912789445</v>
      </c>
      <c r="AC63">
        <v>5.9081981396051901</v>
      </c>
      <c r="AD63">
        <v>4.215527121464774</v>
      </c>
      <c r="AE63">
        <v>2.4353883026079615</v>
      </c>
      <c r="AF63">
        <v>4.7087867264834529</v>
      </c>
      <c r="AG63">
        <v>3.8554236732749132</v>
      </c>
      <c r="AH63">
        <v>4.83202882094524</v>
      </c>
      <c r="AI63">
        <v>2.482274868215967</v>
      </c>
      <c r="AJ63">
        <v>2.5835089675992293</v>
      </c>
      <c r="AK63">
        <v>1.656378141358033</v>
      </c>
      <c r="AL63">
        <v>0.57737785915081474</v>
      </c>
      <c r="AM63">
        <v>1.5677466674810034</v>
      </c>
      <c r="AN63">
        <v>1.2791206849160233</v>
      </c>
      <c r="AO63">
        <v>2.0236433107542808</v>
      </c>
      <c r="AP63">
        <v>2.013168645204928</v>
      </c>
      <c r="AQ63">
        <v>1.2323651830592297</v>
      </c>
      <c r="AR63">
        <v>1.6874451150097514</v>
      </c>
      <c r="AS63">
        <v>3.0133785816491212</v>
      </c>
      <c r="AT63">
        <v>2.5173465107653215</v>
      </c>
      <c r="AU63">
        <v>2.3893290372511728</v>
      </c>
      <c r="AV63">
        <v>1.4945356800041338</v>
      </c>
      <c r="AW63">
        <v>2.0848894079397411</v>
      </c>
      <c r="AX63">
        <v>2.8979482043749272</v>
      </c>
      <c r="AY63">
        <v>2.0885516217647506</v>
      </c>
      <c r="AZ63">
        <v>2.4248135381815814</v>
      </c>
      <c r="BA63">
        <v>4.2542588312004739</v>
      </c>
      <c r="BB63">
        <v>0.57174917465265196</v>
      </c>
      <c r="BC63">
        <v>3.1868597929622098</v>
      </c>
      <c r="BD63">
        <v>0.64638034334217309</v>
      </c>
      <c r="BE63">
        <v>2.4078426105387223</v>
      </c>
      <c r="BF63">
        <v>0.84691125992202387</v>
      </c>
      <c r="BG63">
        <v>1.0187064869212605</v>
      </c>
      <c r="BH63">
        <v>0.40910291874062921</v>
      </c>
      <c r="BI63">
        <v>0.42651293565801041</v>
      </c>
      <c r="BJ63">
        <v>1.1006187480185616</v>
      </c>
      <c r="BK63">
        <v>0.5930221995540137</v>
      </c>
      <c r="BL63">
        <v>0.95087860650897937</v>
      </c>
      <c r="BM63">
        <v>2.8269216853524739</v>
      </c>
      <c r="BN63">
        <v>2.7689191557834931</v>
      </c>
      <c r="BO63">
        <v>9.0969655700667005</v>
      </c>
      <c r="BP63">
        <v>-3.788917998800315</v>
      </c>
      <c r="BQ63">
        <v>1.8238819882038229</v>
      </c>
    </row>
    <row r="64" spans="1:69" hidden="1" x14ac:dyDescent="0.2">
      <c r="A64" t="s">
        <v>189</v>
      </c>
      <c r="B64" t="s">
        <v>190</v>
      </c>
      <c r="C64" t="s">
        <v>71</v>
      </c>
      <c r="D64" t="s">
        <v>72</v>
      </c>
      <c r="F64">
        <v>-0.41794039383987069</v>
      </c>
      <c r="G64">
        <v>7.6401889288435001</v>
      </c>
      <c r="H64">
        <v>7.1904031207046302</v>
      </c>
      <c r="I64">
        <v>2.1062559123703721</v>
      </c>
      <c r="J64">
        <v>-1.0568593396142347</v>
      </c>
      <c r="K64">
        <v>-2.35871003871776</v>
      </c>
      <c r="L64">
        <v>1.7863075424060071</v>
      </c>
      <c r="M64">
        <v>4.0325278866989152</v>
      </c>
      <c r="N64">
        <v>2.8304839081060749</v>
      </c>
      <c r="O64">
        <v>2.1117063236014246</v>
      </c>
      <c r="P64">
        <v>1.1842394248239998</v>
      </c>
      <c r="Q64">
        <v>8.0273822352030777</v>
      </c>
      <c r="R64">
        <v>4.5063967539606722</v>
      </c>
      <c r="S64">
        <v>17.709177393564275</v>
      </c>
      <c r="T64">
        <v>16.94678889391335</v>
      </c>
      <c r="U64">
        <v>2.8672514498688741</v>
      </c>
      <c r="V64">
        <v>10.57635585160763</v>
      </c>
      <c r="W64">
        <v>1.0480588643481497</v>
      </c>
      <c r="X64">
        <v>11.110784115480826</v>
      </c>
      <c r="Y64">
        <v>13.884404422752141</v>
      </c>
      <c r="Z64">
        <v>7.242219266801996</v>
      </c>
      <c r="AA64">
        <v>7.5120252384534894</v>
      </c>
      <c r="AB64">
        <v>6.5963982517340582</v>
      </c>
      <c r="AC64">
        <v>24.184290466886551</v>
      </c>
      <c r="AD64">
        <v>38.36728913957154</v>
      </c>
      <c r="AE64">
        <v>9.3872710775396087</v>
      </c>
      <c r="AF64">
        <v>14.422948754198899</v>
      </c>
      <c r="AG64">
        <v>43.535871492425116</v>
      </c>
      <c r="AH64">
        <v>23.608810424202503</v>
      </c>
      <c r="AI64">
        <v>50.459263080460261</v>
      </c>
      <c r="AJ64">
        <v>102.96144123793329</v>
      </c>
      <c r="AK64">
        <v>5.5526011845879992</v>
      </c>
      <c r="AL64">
        <v>4.9816292667198496</v>
      </c>
      <c r="AM64">
        <v>10.142929950626311</v>
      </c>
      <c r="AN64">
        <v>9.6372837907251494</v>
      </c>
      <c r="AO64">
        <v>3.6860090912969667</v>
      </c>
      <c r="AP64">
        <v>9.4369772065683577</v>
      </c>
      <c r="AQ64">
        <v>6.5133070019896593</v>
      </c>
      <c r="AR64">
        <v>3.8180230121107002</v>
      </c>
      <c r="AS64">
        <v>7.2180447146949405</v>
      </c>
      <c r="AT64">
        <v>6.0305415284848323</v>
      </c>
      <c r="AU64">
        <v>6.9294689250871073</v>
      </c>
      <c r="AV64">
        <v>33.466480348883152</v>
      </c>
      <c r="AW64">
        <v>45.144472043055515</v>
      </c>
      <c r="AX64">
        <v>5.777817973267446</v>
      </c>
      <c r="AY64">
        <v>6.6443206958080481</v>
      </c>
      <c r="AZ64">
        <v>7.6341683881276765</v>
      </c>
      <c r="BA64">
        <v>10.257606183013252</v>
      </c>
      <c r="BB64">
        <v>3.4264799849212295</v>
      </c>
      <c r="BC64">
        <v>5.3493113436177993</v>
      </c>
      <c r="BD64">
        <v>7.9662894213611253</v>
      </c>
      <c r="BE64">
        <v>4.9784750167195568</v>
      </c>
      <c r="BF64">
        <v>4.6285967088084448</v>
      </c>
      <c r="BG64">
        <v>4.2157814645044027</v>
      </c>
      <c r="BH64">
        <v>2.3811606489326778</v>
      </c>
      <c r="BI64">
        <v>2.0153931389806985</v>
      </c>
      <c r="BJ64">
        <v>3.907483938888106</v>
      </c>
      <c r="BK64">
        <v>4.5405050397442324</v>
      </c>
      <c r="BL64">
        <v>3.5954507049397364</v>
      </c>
      <c r="BM64">
        <v>5.4546733734244839</v>
      </c>
      <c r="BN64">
        <v>7.2210335024218466</v>
      </c>
      <c r="BO64">
        <v>9.551234734664078</v>
      </c>
      <c r="BP64">
        <v>5.7871768273553954</v>
      </c>
      <c r="BQ64">
        <v>4.2734887369647083</v>
      </c>
    </row>
    <row r="65" spans="1:69" hidden="1" x14ac:dyDescent="0.2">
      <c r="A65" t="s">
        <v>191</v>
      </c>
      <c r="B65" t="s">
        <v>192</v>
      </c>
      <c r="C65" t="s">
        <v>71</v>
      </c>
      <c r="D65" t="s">
        <v>72</v>
      </c>
      <c r="F65">
        <v>3.4717202831275671</v>
      </c>
      <c r="G65">
        <v>2.3512790514963058</v>
      </c>
      <c r="H65">
        <v>0.5493318930437141</v>
      </c>
      <c r="I65">
        <v>1.6951828150469481</v>
      </c>
      <c r="J65">
        <v>1.5013314568452074</v>
      </c>
      <c r="K65">
        <v>1.8178145421150873</v>
      </c>
      <c r="L65">
        <v>1.3120410187276548</v>
      </c>
      <c r="M65">
        <v>3.1420562985773159</v>
      </c>
      <c r="N65">
        <v>1.9210845441540272</v>
      </c>
      <c r="O65">
        <v>4.9404457303542131</v>
      </c>
      <c r="P65">
        <v>17.151963847577463</v>
      </c>
      <c r="Q65">
        <v>-4.6064610167838111</v>
      </c>
      <c r="R65">
        <v>9.6276116453118732</v>
      </c>
      <c r="S65">
        <v>48.896590423480063</v>
      </c>
      <c r="T65">
        <v>5.9140221098810315</v>
      </c>
      <c r="U65">
        <v>10.840592723972847</v>
      </c>
      <c r="V65">
        <v>11.927099421628398</v>
      </c>
      <c r="W65">
        <v>10.085121070653784</v>
      </c>
      <c r="X65">
        <v>13.98783791892788</v>
      </c>
      <c r="Y65">
        <v>25.862038763109666</v>
      </c>
      <c r="Z65">
        <v>14.353999491312891</v>
      </c>
      <c r="AA65">
        <v>1.9397942075332679</v>
      </c>
      <c r="AB65">
        <v>6.8047958867755227</v>
      </c>
      <c r="AC65">
        <v>8.4335055620312147</v>
      </c>
      <c r="AD65">
        <v>4.9725264022819999</v>
      </c>
      <c r="AE65">
        <v>2.4053432529310896</v>
      </c>
      <c r="AF65">
        <v>8.8420204223294832</v>
      </c>
      <c r="AG65">
        <v>9.0609634770019625</v>
      </c>
      <c r="AH65">
        <v>16.011373515729204</v>
      </c>
      <c r="AI65">
        <v>30.25959853751624</v>
      </c>
      <c r="AJ65">
        <v>53.788604175280653</v>
      </c>
      <c r="AK65">
        <v>21.926114524971524</v>
      </c>
      <c r="AL65">
        <v>13.624424658719022</v>
      </c>
      <c r="AM65">
        <v>29.077647323859992</v>
      </c>
      <c r="AN65">
        <v>28.577037530272975</v>
      </c>
      <c r="AO65">
        <v>24.021904064828604</v>
      </c>
      <c r="AP65">
        <v>7.0019630503339982</v>
      </c>
      <c r="AQ65">
        <v>-3.131088699360447</v>
      </c>
      <c r="AR65">
        <v>10.856336310927574</v>
      </c>
      <c r="AS65">
        <v>22.678009189568414</v>
      </c>
      <c r="AT65">
        <v>8.0143629608145091</v>
      </c>
      <c r="AU65">
        <v>1.372855941978429</v>
      </c>
      <c r="AV65">
        <v>8.9424622390260424</v>
      </c>
      <c r="AW65">
        <v>11.446503789678331</v>
      </c>
      <c r="AX65">
        <v>12.361593341255343</v>
      </c>
      <c r="AY65">
        <v>10.781183750172161</v>
      </c>
      <c r="AZ65">
        <v>7.0955157861998686</v>
      </c>
      <c r="BA65">
        <v>15.117882165657477</v>
      </c>
      <c r="BB65">
        <v>-7.373748175546325</v>
      </c>
      <c r="BC65">
        <v>15.556918121837882</v>
      </c>
      <c r="BD65">
        <v>16.908708363048191</v>
      </c>
      <c r="BE65">
        <v>8.002446537775441</v>
      </c>
      <c r="BF65">
        <v>0.89275299306383715</v>
      </c>
      <c r="BG65">
        <v>1.4503646621824657</v>
      </c>
      <c r="BH65">
        <v>-4.9867447960895532</v>
      </c>
      <c r="BI65">
        <v>0.85668822405186518</v>
      </c>
      <c r="BJ65">
        <v>4.938007295743148</v>
      </c>
      <c r="BK65">
        <v>6.1646783638916247</v>
      </c>
      <c r="BL65">
        <v>0.88299282884702279</v>
      </c>
      <c r="BM65">
        <v>-4.7113839171413048</v>
      </c>
      <c r="BN65">
        <v>15.932599590238567</v>
      </c>
      <c r="BO65">
        <v>22.951262605057266</v>
      </c>
      <c r="BP65">
        <v>0.85484103731454297</v>
      </c>
      <c r="BQ65">
        <v>1.7001146619315648</v>
      </c>
    </row>
    <row r="66" spans="1:69" hidden="1" x14ac:dyDescent="0.2">
      <c r="A66" t="s">
        <v>193</v>
      </c>
      <c r="B66" t="s">
        <v>194</v>
      </c>
      <c r="C66" t="s">
        <v>71</v>
      </c>
      <c r="D66" t="s">
        <v>72</v>
      </c>
      <c r="P66">
        <v>3.4135295287458121</v>
      </c>
      <c r="Q66">
        <v>6.8233712174828156</v>
      </c>
      <c r="R66">
        <v>15.997451204613242</v>
      </c>
      <c r="S66">
        <v>14.782681097884137</v>
      </c>
      <c r="T66">
        <v>8.3784116698665656</v>
      </c>
      <c r="U66">
        <v>8.1404988797044737</v>
      </c>
      <c r="V66">
        <v>7.1660473718563011</v>
      </c>
      <c r="W66">
        <v>5.8400565279949959</v>
      </c>
      <c r="X66">
        <v>11.027403609844121</v>
      </c>
      <c r="Y66">
        <v>12.668466426555455</v>
      </c>
      <c r="Z66">
        <v>7.2565529087272651</v>
      </c>
      <c r="AA66">
        <v>7.4408475782832042</v>
      </c>
      <c r="AB66">
        <v>6.8834379247854187</v>
      </c>
      <c r="AC66">
        <v>4.8604494218556695</v>
      </c>
      <c r="AD66">
        <v>3.6601951753565913</v>
      </c>
      <c r="AE66">
        <v>2.9716170835406288</v>
      </c>
      <c r="AF66">
        <v>7.5819203021339732</v>
      </c>
      <c r="AG66">
        <v>8.4967103700957693</v>
      </c>
      <c r="AH66">
        <v>6.6268813899474353</v>
      </c>
      <c r="AI66">
        <v>7.8429543989047659</v>
      </c>
      <c r="AJ66">
        <v>7.2456743440609159</v>
      </c>
      <c r="AK66">
        <v>7.4475069650786594</v>
      </c>
      <c r="AL66">
        <v>6.4906547671218959</v>
      </c>
      <c r="AM66">
        <v>7.70059550868136</v>
      </c>
      <c r="AN66">
        <v>5.7402361456272217</v>
      </c>
      <c r="AO66">
        <v>6.5058322197502889</v>
      </c>
      <c r="AP66">
        <v>5.9513075158205311</v>
      </c>
      <c r="AQ66">
        <v>7.4479534267524912</v>
      </c>
      <c r="AR66">
        <v>6.1214526604288295</v>
      </c>
      <c r="AS66">
        <v>2.6397302226163504</v>
      </c>
      <c r="AT66">
        <v>4.0207168783268372</v>
      </c>
      <c r="AU66">
        <v>4.2310918137205817</v>
      </c>
      <c r="AV66">
        <v>5.4874291379014721</v>
      </c>
      <c r="AW66">
        <v>5.0006189940769588</v>
      </c>
      <c r="AX66">
        <v>6.6451859814478809</v>
      </c>
      <c r="AY66">
        <v>5.2741106484573379</v>
      </c>
      <c r="AZ66">
        <v>7.3147301773897766</v>
      </c>
      <c r="BA66">
        <v>7.8565864646320591</v>
      </c>
      <c r="BB66">
        <v>1.7651258761991073</v>
      </c>
      <c r="BC66">
        <v>6.2649988693231933</v>
      </c>
      <c r="BD66">
        <v>5.4124080900796798</v>
      </c>
      <c r="BE66">
        <v>3.5765135209381071</v>
      </c>
      <c r="BF66">
        <v>2.8690452471251007</v>
      </c>
      <c r="BG66">
        <v>3.2993691205076345</v>
      </c>
      <c r="BH66">
        <v>2.5308980469022799</v>
      </c>
      <c r="BI66">
        <v>2.2447565190943664</v>
      </c>
      <c r="BJ66">
        <v>2.9791831862185489</v>
      </c>
      <c r="BK66">
        <v>3.7406538302207082</v>
      </c>
      <c r="BL66">
        <v>1.499486194790947</v>
      </c>
      <c r="BM66">
        <v>1.2236092399405152</v>
      </c>
      <c r="BN66">
        <v>4.0869309190799612</v>
      </c>
      <c r="BO66">
        <v>5.4886482020200873</v>
      </c>
      <c r="BP66">
        <v>4.6014330707824058</v>
      </c>
      <c r="BQ66">
        <v>4.1702763505420108</v>
      </c>
    </row>
    <row r="67" spans="1:69" hidden="1" x14ac:dyDescent="0.2">
      <c r="A67" t="s">
        <v>195</v>
      </c>
      <c r="B67" t="s">
        <v>196</v>
      </c>
      <c r="C67" t="s">
        <v>71</v>
      </c>
      <c r="D67" t="s">
        <v>72</v>
      </c>
      <c r="F67">
        <v>2.1830261556261377</v>
      </c>
      <c r="G67">
        <v>1.3809206042225242</v>
      </c>
      <c r="H67">
        <v>2.6868991242928928</v>
      </c>
      <c r="I67">
        <v>2.8242852311884548</v>
      </c>
      <c r="J67">
        <v>2.9945783074353898</v>
      </c>
      <c r="K67">
        <v>3.9285243967435761</v>
      </c>
      <c r="L67">
        <v>2.6048964108475658</v>
      </c>
      <c r="M67">
        <v>2.3040629778422925</v>
      </c>
      <c r="N67">
        <v>2.7963683852284191</v>
      </c>
      <c r="O67">
        <v>3.8344570830274591</v>
      </c>
      <c r="P67">
        <v>5.38437111275978</v>
      </c>
      <c r="Q67">
        <v>6.5392156785901676</v>
      </c>
      <c r="R67">
        <v>14.500774830702198</v>
      </c>
      <c r="S67">
        <v>21.710622914524677</v>
      </c>
      <c r="T67">
        <v>10.484570374597027</v>
      </c>
      <c r="U67">
        <v>9.8112146216484035</v>
      </c>
      <c r="V67">
        <v>10.57635585160763</v>
      </c>
      <c r="W67">
        <v>7.8042388503495488</v>
      </c>
      <c r="X67">
        <v>14.453386654599228</v>
      </c>
      <c r="Y67">
        <v>14.882020116728327</v>
      </c>
      <c r="Z67">
        <v>9.9789143885803924</v>
      </c>
      <c r="AA67">
        <v>7.5033046305210434</v>
      </c>
      <c r="AB67">
        <v>8.257059796751534</v>
      </c>
      <c r="AC67">
        <v>10.16368899322228</v>
      </c>
      <c r="AD67">
        <v>6.8512000949872629</v>
      </c>
      <c r="AE67">
        <v>7.1854378749672634</v>
      </c>
      <c r="AF67">
        <v>11.01204474858848</v>
      </c>
      <c r="AG67">
        <v>9.7960553936204349</v>
      </c>
      <c r="AH67">
        <v>8.9963907653245485</v>
      </c>
      <c r="AI67">
        <v>12.247747384816805</v>
      </c>
      <c r="AJ67">
        <v>13.622117597302008</v>
      </c>
      <c r="AK67">
        <v>10.234748477289259</v>
      </c>
      <c r="AL67">
        <v>10.999430948027161</v>
      </c>
      <c r="AM67">
        <v>10.556678257506057</v>
      </c>
      <c r="AN67">
        <v>9.5868816458019523</v>
      </c>
      <c r="AO67">
        <v>8.9000045095332325</v>
      </c>
      <c r="AP67">
        <v>7.2790929776352016</v>
      </c>
      <c r="AQ67">
        <v>6.7792409566938403</v>
      </c>
      <c r="AR67">
        <v>7.0314025367099333</v>
      </c>
      <c r="AS67">
        <v>7.2180447146949405</v>
      </c>
      <c r="AT67">
        <v>6.0305415284848323</v>
      </c>
      <c r="AU67">
        <v>4.723436236535079</v>
      </c>
      <c r="AV67">
        <v>5.7597407665567459</v>
      </c>
      <c r="AW67">
        <v>7.6115243160854078</v>
      </c>
      <c r="AX67">
        <v>7.0267908425900742</v>
      </c>
      <c r="AY67">
        <v>8.4009382174037057</v>
      </c>
      <c r="AZ67">
        <v>7.3147301773897766</v>
      </c>
      <c r="BA67">
        <v>11.365091739546187</v>
      </c>
      <c r="BB67">
        <v>4.8731269192583824</v>
      </c>
      <c r="BC67">
        <v>7.0092836025974066</v>
      </c>
      <c r="BD67">
        <v>7.9662894213611253</v>
      </c>
      <c r="BE67">
        <v>4.9784750167195568</v>
      </c>
      <c r="BF67">
        <v>4.0397908935007507</v>
      </c>
      <c r="BG67">
        <v>4.0179309900201616</v>
      </c>
      <c r="BH67">
        <v>3.1392599551900702</v>
      </c>
      <c r="BI67">
        <v>2.5178459360124066</v>
      </c>
      <c r="BJ67">
        <v>4.2926781219952517</v>
      </c>
      <c r="BK67">
        <v>3.8183235694333462</v>
      </c>
      <c r="BL67">
        <v>3.1080083741491364</v>
      </c>
      <c r="BM67">
        <v>3.2174023324111403</v>
      </c>
      <c r="BN67">
        <v>6.0039732213620738</v>
      </c>
      <c r="BO67">
        <v>8.0544605027444334</v>
      </c>
      <c r="BP67">
        <v>4.8042714269498106</v>
      </c>
      <c r="BQ67">
        <v>4.462598779110678</v>
      </c>
    </row>
    <row r="68" spans="1:69" hidden="1" x14ac:dyDescent="0.2">
      <c r="A68" t="s">
        <v>197</v>
      </c>
      <c r="B68" t="s">
        <v>198</v>
      </c>
      <c r="C68" t="s">
        <v>71</v>
      </c>
      <c r="D68" t="s">
        <v>72</v>
      </c>
      <c r="P68">
        <v>5.1171063382060424</v>
      </c>
      <c r="Q68">
        <v>6.700101604939718</v>
      </c>
      <c r="R68">
        <v>12.275028235875602</v>
      </c>
      <c r="S68">
        <v>15.549127069160093</v>
      </c>
      <c r="T68">
        <v>8.3784116698665656</v>
      </c>
      <c r="U68">
        <v>8.3762001237148311</v>
      </c>
      <c r="V68">
        <v>7.7189110288166773</v>
      </c>
      <c r="W68">
        <v>6.6039490294195957</v>
      </c>
      <c r="X68">
        <v>10.642725376292759</v>
      </c>
      <c r="Y68">
        <v>12.59887241077449</v>
      </c>
      <c r="Z68">
        <v>9.3176579877219297</v>
      </c>
      <c r="AA68">
        <v>7.684235469828856</v>
      </c>
      <c r="AB68">
        <v>6.9501205014964142</v>
      </c>
      <c r="AC68">
        <v>4.9054226465927258</v>
      </c>
      <c r="AD68">
        <v>3.8356063834638405</v>
      </c>
      <c r="AE68">
        <v>4.6804546985124631</v>
      </c>
      <c r="AF68">
        <v>7.4971258535141487</v>
      </c>
      <c r="AG68">
        <v>7.3280156214279941</v>
      </c>
      <c r="AH68">
        <v>6.4486618871322889</v>
      </c>
      <c r="AI68">
        <v>6.679469364806522</v>
      </c>
      <c r="AJ68">
        <v>6.4189580580025094</v>
      </c>
      <c r="AK68">
        <v>6.797764117937632</v>
      </c>
      <c r="AL68">
        <v>4.3717230648642982</v>
      </c>
      <c r="AM68">
        <v>3.8038344596364482</v>
      </c>
      <c r="AN68">
        <v>3.4048489311967884</v>
      </c>
      <c r="AO68">
        <v>3.356202688710276</v>
      </c>
      <c r="AP68">
        <v>3.2357447334395602</v>
      </c>
      <c r="AQ68">
        <v>3.6452097918133077</v>
      </c>
      <c r="AR68">
        <v>2.8736604869036384</v>
      </c>
      <c r="AS68">
        <v>2.5952477526647257</v>
      </c>
      <c r="AT68">
        <v>3.3668486479639341</v>
      </c>
      <c r="AU68">
        <v>3.1288831986340853</v>
      </c>
      <c r="AV68">
        <v>3.1392053024637008</v>
      </c>
      <c r="AW68">
        <v>3.4007793939915203</v>
      </c>
      <c r="AX68">
        <v>4.0144482644542023</v>
      </c>
      <c r="AY68">
        <v>4.0001946352391613</v>
      </c>
      <c r="AZ68">
        <v>4.5518151729847673</v>
      </c>
      <c r="BA68">
        <v>7.1718933790194015</v>
      </c>
      <c r="BB68">
        <v>1.8343903887084778</v>
      </c>
      <c r="BC68">
        <v>2.948611832139278</v>
      </c>
      <c r="BD68">
        <v>3.908352017961036</v>
      </c>
      <c r="BE68">
        <v>2.8842665189929946</v>
      </c>
      <c r="BF68">
        <v>2.1670083558868996</v>
      </c>
      <c r="BG68">
        <v>2.2997808836390021</v>
      </c>
      <c r="BH68">
        <v>2.5266831059665975</v>
      </c>
      <c r="BI68">
        <v>1.8299190079205232</v>
      </c>
      <c r="BJ68">
        <v>2.7199859012756065</v>
      </c>
      <c r="BK68">
        <v>3.4678977729216882</v>
      </c>
      <c r="BL68">
        <v>1.499486194790947</v>
      </c>
      <c r="BM68">
        <v>1.2236092399405152</v>
      </c>
      <c r="BN68">
        <v>4.0869309190799612</v>
      </c>
      <c r="BO68">
        <v>5.1209093126682035</v>
      </c>
      <c r="BP68">
        <v>4.0995759131793506</v>
      </c>
      <c r="BQ68">
        <v>3.601447728486022</v>
      </c>
    </row>
    <row r="69" spans="1:69" hidden="1" x14ac:dyDescent="0.2">
      <c r="A69" t="s">
        <v>199</v>
      </c>
      <c r="B69" t="s">
        <v>200</v>
      </c>
      <c r="C69" t="s">
        <v>71</v>
      </c>
      <c r="D69" t="s">
        <v>72</v>
      </c>
      <c r="AJ69">
        <v>93.921321380493652</v>
      </c>
      <c r="AK69">
        <v>1030.776808998902</v>
      </c>
      <c r="AL69">
        <v>1078.8828546508475</v>
      </c>
      <c r="AM69">
        <v>952.30714966894197</v>
      </c>
      <c r="AN69">
        <v>161.16391757915898</v>
      </c>
      <c r="AO69">
        <v>40.964950823734824</v>
      </c>
      <c r="AP69">
        <v>17.817642816389011</v>
      </c>
      <c r="AQ69">
        <v>9.4617301717161268</v>
      </c>
      <c r="AR69">
        <v>23.005304387068406</v>
      </c>
      <c r="AS69">
        <v>27.161738047337394</v>
      </c>
      <c r="AT69">
        <v>10.200915874305025</v>
      </c>
      <c r="AU69">
        <v>5.8032240967661863</v>
      </c>
      <c r="AV69">
        <v>8.3207742043657902</v>
      </c>
      <c r="AW69">
        <v>8.4336944783274959</v>
      </c>
      <c r="AX69">
        <v>7.9351029706329115</v>
      </c>
      <c r="AY69">
        <v>10.748615738224117</v>
      </c>
      <c r="AZ69">
        <v>12.872702227572773</v>
      </c>
      <c r="BA69">
        <v>12.04615359392804</v>
      </c>
      <c r="BB69">
        <v>3.3028219754809527</v>
      </c>
      <c r="BC69">
        <v>8.9013095113216849</v>
      </c>
      <c r="BD69">
        <v>10.087013235468412</v>
      </c>
      <c r="BE69">
        <v>5.6949244385537199</v>
      </c>
      <c r="BF69">
        <v>3.4999170463948062</v>
      </c>
      <c r="BG69">
        <v>3.7496555818780735</v>
      </c>
      <c r="BH69">
        <v>2.1943469062737435</v>
      </c>
      <c r="BI69">
        <v>3.5080633437089901</v>
      </c>
      <c r="BJ69">
        <v>6.2898061770284315</v>
      </c>
      <c r="BK69">
        <v>3.3367757602766446</v>
      </c>
      <c r="BL69">
        <v>3.8271821478517722</v>
      </c>
      <c r="BM69">
        <v>2.2279760495488148</v>
      </c>
      <c r="BN69">
        <v>8.4725116063934678</v>
      </c>
      <c r="BO69">
        <v>12.082081128640986</v>
      </c>
      <c r="BP69">
        <v>7.9066641168969269</v>
      </c>
      <c r="BQ69">
        <v>4.3482127038649736</v>
      </c>
    </row>
    <row r="70" spans="1:69" hidden="1" x14ac:dyDescent="0.2">
      <c r="A70" t="s">
        <v>201</v>
      </c>
      <c r="B70" t="s">
        <v>202</v>
      </c>
      <c r="C70" t="s">
        <v>71</v>
      </c>
      <c r="D70" t="s">
        <v>72</v>
      </c>
      <c r="AD70">
        <v>5.3221160647952246</v>
      </c>
      <c r="AE70">
        <v>4.1401280386964032</v>
      </c>
      <c r="AF70">
        <v>4.4565484281760632</v>
      </c>
      <c r="AG70">
        <v>3.1863614735637569</v>
      </c>
      <c r="AH70">
        <v>5.5670153028840375</v>
      </c>
      <c r="AI70">
        <v>5.4331249458897446</v>
      </c>
      <c r="AJ70">
        <v>35.514246953625729</v>
      </c>
      <c r="AK70">
        <v>14.798812474164478</v>
      </c>
      <c r="AL70">
        <v>21.008802915181462</v>
      </c>
      <c r="AM70">
        <v>13.448486982557313</v>
      </c>
      <c r="AN70">
        <v>13.38244635078847</v>
      </c>
      <c r="AO70">
        <v>4.5265642727023518</v>
      </c>
      <c r="AP70">
        <v>6.162176782115445</v>
      </c>
      <c r="AQ70">
        <v>4.2471408054605888</v>
      </c>
      <c r="AR70">
        <v>3.3448326673928364</v>
      </c>
      <c r="AS70">
        <v>4.4796790560534347</v>
      </c>
      <c r="AT70">
        <v>4.0951413789955922</v>
      </c>
      <c r="AU70">
        <v>3.2820059556084402</v>
      </c>
      <c r="AV70">
        <v>3.4928709340744462</v>
      </c>
      <c r="AW70">
        <v>3.4911535562869105</v>
      </c>
      <c r="AX70">
        <v>3.1762308600518026</v>
      </c>
      <c r="AY70">
        <v>3.6167793964112036</v>
      </c>
      <c r="AZ70">
        <v>4.2820726732351559</v>
      </c>
      <c r="BA70">
        <v>5.1455878253728358</v>
      </c>
      <c r="BB70">
        <v>1.8361579628524183</v>
      </c>
      <c r="BC70">
        <v>1.9544934793856754</v>
      </c>
      <c r="BD70">
        <v>2.7424870298409658</v>
      </c>
      <c r="BE70">
        <v>2.3067895172853028</v>
      </c>
      <c r="BF70">
        <v>1.4643507390812758</v>
      </c>
      <c r="BG70">
        <v>1.3921017063739143</v>
      </c>
      <c r="BH70">
        <v>1.3432208131947974</v>
      </c>
      <c r="BI70">
        <v>1.3279280223799148</v>
      </c>
      <c r="BJ70">
        <v>2.0630339813130263</v>
      </c>
      <c r="BK70">
        <v>2.1448010423929844</v>
      </c>
      <c r="BL70">
        <v>2.3432088456813176</v>
      </c>
      <c r="BM70">
        <v>1.8001278039421749</v>
      </c>
      <c r="BN70">
        <v>3.7394087376899776</v>
      </c>
      <c r="BO70">
        <v>8.1988614793027494</v>
      </c>
      <c r="BP70">
        <v>6.2928279392843081</v>
      </c>
      <c r="BQ70">
        <v>3.5986285428594229</v>
      </c>
    </row>
    <row r="71" spans="1:69" hidden="1" x14ac:dyDescent="0.2">
      <c r="A71" t="s">
        <v>203</v>
      </c>
      <c r="B71" t="s">
        <v>204</v>
      </c>
      <c r="C71" t="s">
        <v>71</v>
      </c>
      <c r="D71" t="s">
        <v>72</v>
      </c>
      <c r="F71">
        <v>-11.320442977919399</v>
      </c>
      <c r="G71">
        <v>-9.9937653463514948</v>
      </c>
      <c r="H71">
        <v>17.685425481779674</v>
      </c>
      <c r="I71">
        <v>14.527781306060376</v>
      </c>
      <c r="J71">
        <v>2.9945783074353898</v>
      </c>
      <c r="K71">
        <v>2.1171539710675376</v>
      </c>
      <c r="L71">
        <v>0.47318745782771998</v>
      </c>
      <c r="M71">
        <v>-0.77524544296527154</v>
      </c>
      <c r="N71">
        <v>15.148202577298406</v>
      </c>
      <c r="O71">
        <v>-13.936380630938118</v>
      </c>
      <c r="P71">
        <v>-9.4789703243422139</v>
      </c>
      <c r="Q71">
        <v>10.149645799812461</v>
      </c>
      <c r="R71">
        <v>7.1974841666783078</v>
      </c>
      <c r="S71">
        <v>52.479558876075316</v>
      </c>
      <c r="T71">
        <v>5.5758289368630329</v>
      </c>
      <c r="U71">
        <v>9.4937135965549118</v>
      </c>
      <c r="V71">
        <v>19.360718069680544</v>
      </c>
      <c r="W71">
        <v>2.2898972432549272</v>
      </c>
      <c r="X71">
        <v>14.614460948118534</v>
      </c>
      <c r="Y71">
        <v>21.635692190642459</v>
      </c>
      <c r="Z71">
        <v>15.491445858399118</v>
      </c>
      <c r="AA71">
        <v>-9.1821740157464404</v>
      </c>
      <c r="AB71">
        <v>-13.644825264620181</v>
      </c>
      <c r="AC71">
        <v>-3.9213549169541722</v>
      </c>
      <c r="AD71">
        <v>-2.4401396404016253</v>
      </c>
      <c r="AE71">
        <v>-13.690424394947982</v>
      </c>
      <c r="AF71">
        <v>-8.7010139845546774</v>
      </c>
      <c r="AG71">
        <v>-11.613801200505009</v>
      </c>
      <c r="AH71">
        <v>5.36797841489755</v>
      </c>
      <c r="AI71">
        <v>5.8136292022447549</v>
      </c>
      <c r="AJ71">
        <v>6.8893203152068878</v>
      </c>
      <c r="AK71">
        <v>4.3032294542437484</v>
      </c>
      <c r="AL71">
        <v>2.6417708313043278</v>
      </c>
      <c r="AM71">
        <v>15.008719392715463</v>
      </c>
      <c r="AN71">
        <v>5.2225533539192952</v>
      </c>
      <c r="AO71">
        <v>1.4901547031776801</v>
      </c>
      <c r="AP71">
        <v>7.0061730488434364</v>
      </c>
      <c r="AQ71">
        <v>-3.7826791813433545</v>
      </c>
      <c r="AR71">
        <v>-26.299992783516146</v>
      </c>
      <c r="AS71">
        <v>-11.683450926675761</v>
      </c>
      <c r="AT71">
        <v>26.598216783547542</v>
      </c>
      <c r="AU71">
        <v>11.486562424099361</v>
      </c>
      <c r="AV71">
        <v>11.24727983991356</v>
      </c>
      <c r="AW71">
        <v>6.3906199712691745</v>
      </c>
      <c r="AX71">
        <v>8.5829912693265982</v>
      </c>
      <c r="AY71">
        <v>8.7165858288174434</v>
      </c>
      <c r="AZ71">
        <v>7.0634217169423437</v>
      </c>
      <c r="BA71">
        <v>15.094116008240334</v>
      </c>
      <c r="BB71">
        <v>-2.7691259490032536</v>
      </c>
      <c r="BC71">
        <v>9.0137173860125301</v>
      </c>
      <c r="BD71">
        <v>6.8375122295414599</v>
      </c>
      <c r="BE71">
        <v>5.0032359079486213</v>
      </c>
      <c r="BF71">
        <v>2.6668672801717577</v>
      </c>
      <c r="BG71">
        <v>2.0529605157063173</v>
      </c>
      <c r="BH71">
        <v>-5.4756326567153479</v>
      </c>
      <c r="BI71">
        <v>1.1711445039272377</v>
      </c>
      <c r="BJ71">
        <v>0.93203165612483474</v>
      </c>
      <c r="BK71">
        <v>1.8193967068375798</v>
      </c>
      <c r="BL71">
        <v>-5.6574258391037802E-2</v>
      </c>
      <c r="BM71">
        <v>-1.825956531876173</v>
      </c>
      <c r="BN71">
        <v>2.1747440659328987</v>
      </c>
      <c r="BO71">
        <v>2.348068434399849</v>
      </c>
      <c r="BP71">
        <v>2.2837592773844051</v>
      </c>
      <c r="BQ71">
        <v>5.0146131924434911</v>
      </c>
    </row>
    <row r="72" spans="1:69" hidden="1" x14ac:dyDescent="0.2">
      <c r="A72" t="s">
        <v>205</v>
      </c>
      <c r="B72" t="s">
        <v>206</v>
      </c>
      <c r="C72" t="s">
        <v>71</v>
      </c>
      <c r="D72" t="s">
        <v>72</v>
      </c>
      <c r="F72">
        <v>1.6099714377794356</v>
      </c>
      <c r="G72">
        <v>0.39602687037485396</v>
      </c>
      <c r="H72">
        <v>0.91537110862567772</v>
      </c>
      <c r="I72">
        <v>0.86229513978565819</v>
      </c>
      <c r="J72">
        <v>5.4645576794425637</v>
      </c>
      <c r="K72">
        <v>2.7511976210648612</v>
      </c>
      <c r="L72">
        <v>2.8320132932880142</v>
      </c>
      <c r="M72">
        <v>1.8014311533602836</v>
      </c>
      <c r="N72">
        <v>0.80631020465614256</v>
      </c>
      <c r="O72">
        <v>12.516173690160485</v>
      </c>
      <c r="P72">
        <v>1.3267297016331696</v>
      </c>
      <c r="Q72">
        <v>3.3990936192491432</v>
      </c>
      <c r="R72">
        <v>7.3526150426717436</v>
      </c>
      <c r="S72">
        <v>9.4249799170939497</v>
      </c>
      <c r="T72">
        <v>9.6638792508682485</v>
      </c>
      <c r="U72">
        <v>11.533278991489809</v>
      </c>
      <c r="V72">
        <v>12.337917136907379</v>
      </c>
      <c r="W72">
        <v>9.547621691593605</v>
      </c>
      <c r="X72">
        <v>23.499865637462293</v>
      </c>
      <c r="Y72">
        <v>12.430866517201665</v>
      </c>
      <c r="Z72">
        <v>-2.1982353812844337</v>
      </c>
      <c r="AA72">
        <v>24.730858970601204</v>
      </c>
      <c r="AB72">
        <v>12.711864406310241</v>
      </c>
      <c r="AC72">
        <v>8.2474526085046165</v>
      </c>
      <c r="AD72">
        <v>11.576041762999026</v>
      </c>
      <c r="AE72">
        <v>12.875171647227418</v>
      </c>
      <c r="AF72">
        <v>12.469372536539836</v>
      </c>
      <c r="AG72">
        <v>13.417554344510137</v>
      </c>
      <c r="AH72">
        <v>19.137404849268407</v>
      </c>
      <c r="AI72">
        <v>17.74305136424492</v>
      </c>
      <c r="AJ72">
        <v>16.125271175150118</v>
      </c>
      <c r="AK72">
        <v>18.350780681307995</v>
      </c>
      <c r="AL72">
        <v>8.4291053883226823</v>
      </c>
      <c r="AM72">
        <v>8.4488715638879768</v>
      </c>
      <c r="AN72">
        <v>11.399741499736038</v>
      </c>
      <c r="AO72">
        <v>7.1076674485611875</v>
      </c>
      <c r="AP72">
        <v>9.8762774279093293</v>
      </c>
      <c r="AQ72">
        <v>2.377681489201791</v>
      </c>
      <c r="AR72">
        <v>0.91943541830022468</v>
      </c>
      <c r="AS72">
        <v>3.9444069943829021</v>
      </c>
      <c r="AT72">
        <v>1.8676998423894844</v>
      </c>
      <c r="AU72">
        <v>3.1655790675061581</v>
      </c>
      <c r="AV72">
        <v>6.7774936061383926</v>
      </c>
      <c r="AW72">
        <v>11.669908340566778</v>
      </c>
      <c r="AX72">
        <v>6.2127295061837486</v>
      </c>
      <c r="AY72">
        <v>7.359977730592874</v>
      </c>
      <c r="AZ72">
        <v>12.595739823876784</v>
      </c>
      <c r="BA72">
        <v>12.203984463099644</v>
      </c>
      <c r="BB72">
        <v>11.185542267237537</v>
      </c>
      <c r="BC72">
        <v>10.106864629572115</v>
      </c>
      <c r="BD72">
        <v>11.662976350733217</v>
      </c>
      <c r="BE72">
        <v>19.482877469414788</v>
      </c>
      <c r="BF72">
        <v>8.7126745748847156</v>
      </c>
      <c r="BG72">
        <v>11.247624503786938</v>
      </c>
      <c r="BH72">
        <v>9.9308897303598229</v>
      </c>
      <c r="BI72">
        <v>6.2456631337742579</v>
      </c>
      <c r="BJ72">
        <v>29.518479834603482</v>
      </c>
      <c r="BK72">
        <v>21.174820816453632</v>
      </c>
      <c r="BL72">
        <v>13.61809591099626</v>
      </c>
      <c r="BM72">
        <v>6.1769340984796344</v>
      </c>
      <c r="BN72">
        <v>4.8471564324411816</v>
      </c>
      <c r="BO72">
        <v>10.425789243574471</v>
      </c>
      <c r="BP72">
        <v>24.799075871900115</v>
      </c>
      <c r="BQ72">
        <v>33.691504217189163</v>
      </c>
    </row>
    <row r="73" spans="1:69" hidden="1" x14ac:dyDescent="0.2">
      <c r="A73" t="s">
        <v>207</v>
      </c>
      <c r="B73" t="s">
        <v>208</v>
      </c>
      <c r="C73" t="s">
        <v>71</v>
      </c>
      <c r="D73" t="s">
        <v>72</v>
      </c>
      <c r="F73">
        <v>2.6530404891266883</v>
      </c>
      <c r="G73">
        <v>3.9656057354677117</v>
      </c>
      <c r="H73">
        <v>3.4203682692331654</v>
      </c>
      <c r="I73">
        <v>5.2383753626352174</v>
      </c>
      <c r="J73">
        <v>4.137620371849593</v>
      </c>
      <c r="K73">
        <v>4.2641019164593388</v>
      </c>
      <c r="L73">
        <v>3.2176606093440512</v>
      </c>
      <c r="M73">
        <v>3.5173471976326525</v>
      </c>
      <c r="N73">
        <v>4.6711192958790875</v>
      </c>
      <c r="O73">
        <v>5.5191266239062458</v>
      </c>
      <c r="P73">
        <v>6.2043731872715995</v>
      </c>
      <c r="Q73">
        <v>6.908856622390843</v>
      </c>
      <c r="R73">
        <v>9.4662768599407059</v>
      </c>
      <c r="S73">
        <v>12.895652605241196</v>
      </c>
      <c r="T73">
        <v>13.120001484757665</v>
      </c>
      <c r="U73">
        <v>11.519557448040388</v>
      </c>
      <c r="V73">
        <v>8.8698840624772188</v>
      </c>
      <c r="W73">
        <v>8.3444373425668772</v>
      </c>
      <c r="X73">
        <v>9.2578533994685017</v>
      </c>
      <c r="Y73">
        <v>11.969327845018412</v>
      </c>
      <c r="Z73">
        <v>11.558116124662526</v>
      </c>
      <c r="AA73">
        <v>10.581989137606826</v>
      </c>
      <c r="AB73">
        <v>7.5070119882119073</v>
      </c>
      <c r="AC73">
        <v>6.7262735433601009</v>
      </c>
      <c r="AD73">
        <v>5.2056003471257171</v>
      </c>
      <c r="AE73">
        <v>4.454478342014113</v>
      </c>
      <c r="AF73">
        <v>2.7608762002073632</v>
      </c>
      <c r="AG73">
        <v>3.1863614735637569</v>
      </c>
      <c r="AH73">
        <v>4.7746006501560672</v>
      </c>
      <c r="AI73">
        <v>3.2738466787277432</v>
      </c>
      <c r="AJ73">
        <v>5.4115728330370558</v>
      </c>
      <c r="AK73">
        <v>5.6758535415297757</v>
      </c>
      <c r="AL73">
        <v>4.9894427844417493</v>
      </c>
      <c r="AM73">
        <v>3.720793289208757</v>
      </c>
      <c r="AN73">
        <v>4.9291871479480562</v>
      </c>
      <c r="AO73">
        <v>3.0871151896442939</v>
      </c>
      <c r="AP73">
        <v>2.6557185510692563</v>
      </c>
      <c r="AQ73">
        <v>2.8693871408992635</v>
      </c>
      <c r="AR73">
        <v>1.8896385220483367</v>
      </c>
      <c r="AS73">
        <v>3.0067925171398713</v>
      </c>
      <c r="AT73">
        <v>3.5654892668067077</v>
      </c>
      <c r="AU73">
        <v>3.1063303548192778</v>
      </c>
      <c r="AV73">
        <v>3.2972089671392197</v>
      </c>
      <c r="AW73">
        <v>2.6695296488542368</v>
      </c>
      <c r="AX73">
        <v>2.308086188363859</v>
      </c>
      <c r="AY73">
        <v>2.9908229386587948</v>
      </c>
      <c r="AZ73">
        <v>2.6105715829225389</v>
      </c>
      <c r="BA73">
        <v>3.0114744621885166</v>
      </c>
      <c r="BB73">
        <v>0.82625457259482005</v>
      </c>
      <c r="BC73">
        <v>0.83673727398259246</v>
      </c>
      <c r="BD73">
        <v>1.6445577812405787</v>
      </c>
      <c r="BE73">
        <v>1.6905795666336161</v>
      </c>
      <c r="BF73">
        <v>1.2421704695039111</v>
      </c>
      <c r="BG73">
        <v>0.67800411088513357</v>
      </c>
      <c r="BH73">
        <v>1.0051357366410869</v>
      </c>
      <c r="BI73">
        <v>0.58673717169266837</v>
      </c>
      <c r="BJ73">
        <v>1.3634790450674288</v>
      </c>
      <c r="BK73">
        <v>1.845980251830234</v>
      </c>
      <c r="BL73">
        <v>1.9213112992732846</v>
      </c>
      <c r="BM73">
        <v>1.6967309836693758</v>
      </c>
      <c r="BN73">
        <v>2.5244771948343896</v>
      </c>
      <c r="BO73">
        <v>6.3566729914298321</v>
      </c>
      <c r="BP73">
        <v>6.1890982952545031</v>
      </c>
      <c r="BQ73">
        <v>3.1917943078361972</v>
      </c>
    </row>
    <row r="74" spans="1:69" hidden="1" x14ac:dyDescent="0.2">
      <c r="A74" t="s">
        <v>209</v>
      </c>
      <c r="B74" t="s">
        <v>210</v>
      </c>
      <c r="C74" t="s">
        <v>71</v>
      </c>
      <c r="D74" t="s">
        <v>72</v>
      </c>
      <c r="AL74">
        <v>-1.3831706273557387</v>
      </c>
      <c r="AM74">
        <v>10.432147687189939</v>
      </c>
      <c r="AN74">
        <v>9.810040354402517</v>
      </c>
      <c r="AO74">
        <v>9.0748348887851336</v>
      </c>
      <c r="AP74">
        <v>3.8971517911084845</v>
      </c>
      <c r="AQ74">
        <v>9.109172939018066</v>
      </c>
      <c r="AR74">
        <v>2.3185614922160056</v>
      </c>
      <c r="AS74">
        <v>24.977594753146562</v>
      </c>
      <c r="AT74">
        <v>15.07726957868276</v>
      </c>
      <c r="AU74">
        <v>16.148667361765675</v>
      </c>
      <c r="AV74">
        <v>21.872841759065167</v>
      </c>
      <c r="AW74">
        <v>24.799285678334783</v>
      </c>
      <c r="AX74">
        <v>7.6236893587826842</v>
      </c>
      <c r="AY74">
        <v>11.394003953466438</v>
      </c>
      <c r="AZ74">
        <v>7.2882082606798804</v>
      </c>
      <c r="BA74">
        <v>16.076220095872714</v>
      </c>
      <c r="BB74">
        <v>29.50450714217888</v>
      </c>
      <c r="BC74">
        <v>-16.228199699087426</v>
      </c>
      <c r="BD74">
        <v>19.538228145408127</v>
      </c>
    </row>
    <row r="75" spans="1:69" hidden="1" x14ac:dyDescent="0.2">
      <c r="A75" t="s">
        <v>211</v>
      </c>
      <c r="B75" t="s">
        <v>212</v>
      </c>
      <c r="C75" t="s">
        <v>71</v>
      </c>
      <c r="D75" t="s">
        <v>72</v>
      </c>
      <c r="F75">
        <v>2.466389753715049</v>
      </c>
      <c r="G75">
        <v>6.0958416234851711</v>
      </c>
      <c r="H75">
        <v>7.8453746900214725</v>
      </c>
      <c r="I75">
        <v>6.254319614797339</v>
      </c>
      <c r="J75">
        <v>9.1648666470405971</v>
      </c>
      <c r="K75">
        <v>8.1737433598331251</v>
      </c>
      <c r="L75">
        <v>8.5377190882397542</v>
      </c>
      <c r="M75">
        <v>5.911130108934799</v>
      </c>
      <c r="N75">
        <v>5.1332506418110455</v>
      </c>
      <c r="O75">
        <v>5.9425863200030022</v>
      </c>
      <c r="P75">
        <v>7.8460193871439969</v>
      </c>
      <c r="Q75">
        <v>8.517922277148358</v>
      </c>
      <c r="R75">
        <v>11.849598356985098</v>
      </c>
      <c r="S75">
        <v>15.945109270463803</v>
      </c>
      <c r="T75">
        <v>16.781782384265568</v>
      </c>
      <c r="U75">
        <v>16.48992114997408</v>
      </c>
      <c r="V75">
        <v>23.383068542369273</v>
      </c>
      <c r="W75">
        <v>20.631043123292486</v>
      </c>
      <c r="X75">
        <v>16.93163224786764</v>
      </c>
      <c r="Y75">
        <v>13.354826604090064</v>
      </c>
      <c r="Z75">
        <v>12.35119191270249</v>
      </c>
      <c r="AA75">
        <v>13.582323635136788</v>
      </c>
      <c r="AB75">
        <v>11.884245343433534</v>
      </c>
      <c r="AC75">
        <v>10.864734020919428</v>
      </c>
      <c r="AD75">
        <v>8.5954796229220705</v>
      </c>
      <c r="AE75">
        <v>10.878816315154864</v>
      </c>
      <c r="AF75">
        <v>5.9441982856817077</v>
      </c>
      <c r="AG75">
        <v>5.9361261759154331</v>
      </c>
      <c r="AH75">
        <v>6.8961941258147732</v>
      </c>
      <c r="AI75">
        <v>7.3262512109324405</v>
      </c>
      <c r="AJ75">
        <v>6.935139500367967</v>
      </c>
      <c r="AK75">
        <v>6.7107712115370646</v>
      </c>
      <c r="AL75">
        <v>4.5372412355355323</v>
      </c>
      <c r="AM75">
        <v>3.8798418764795599</v>
      </c>
      <c r="AN75">
        <v>4.9331297663212297</v>
      </c>
      <c r="AO75">
        <v>3.5332572966827627</v>
      </c>
      <c r="AP75">
        <v>2.4650321068023402</v>
      </c>
      <c r="AQ75">
        <v>2.6347798315243409</v>
      </c>
      <c r="AR75">
        <v>2.6185805670079958</v>
      </c>
      <c r="AS75">
        <v>3.4127520834951781</v>
      </c>
      <c r="AT75">
        <v>4.1623132762129416</v>
      </c>
      <c r="AU75">
        <v>4.0917022703432053</v>
      </c>
      <c r="AV75">
        <v>4.0039657254291541</v>
      </c>
      <c r="AW75">
        <v>3.9116657619694024</v>
      </c>
      <c r="AX75">
        <v>4.2129234063974224</v>
      </c>
      <c r="AY75">
        <v>4.0724888213377</v>
      </c>
      <c r="AZ75">
        <v>3.5612340982723083</v>
      </c>
      <c r="BA75">
        <v>2.4520436541038322</v>
      </c>
      <c r="BB75">
        <v>0.23128309177606354</v>
      </c>
      <c r="BC75">
        <v>0.2928377312733943</v>
      </c>
      <c r="BD75">
        <v>-0.14595877182101447</v>
      </c>
      <c r="BE75">
        <v>-0.20295499222919489</v>
      </c>
      <c r="BF75">
        <v>0.43817503269718827</v>
      </c>
      <c r="BG75">
        <v>-0.22068679671149027</v>
      </c>
      <c r="BH75">
        <v>0.55244181604578557</v>
      </c>
      <c r="BI75">
        <v>0.37218253961582093</v>
      </c>
      <c r="BJ75">
        <v>1.2579443181247427</v>
      </c>
      <c r="BK75">
        <v>1.1873547023759841</v>
      </c>
      <c r="BL75">
        <v>1.4286712365239111</v>
      </c>
      <c r="BM75">
        <v>1.1339145416404222</v>
      </c>
      <c r="BN75">
        <v>2.5561123650161335</v>
      </c>
      <c r="BO75">
        <v>4.7118742100781645</v>
      </c>
      <c r="BP75">
        <v>6.23528006974459</v>
      </c>
      <c r="BQ75">
        <v>2.9829920792457045</v>
      </c>
    </row>
    <row r="76" spans="1:69" hidden="1" x14ac:dyDescent="0.2">
      <c r="A76" t="s">
        <v>213</v>
      </c>
      <c r="B76" t="s">
        <v>214</v>
      </c>
      <c r="C76" t="s">
        <v>71</v>
      </c>
      <c r="D76" t="s">
        <v>72</v>
      </c>
      <c r="AJ76">
        <v>132.57042895205768</v>
      </c>
      <c r="AK76">
        <v>873.64286760768641</v>
      </c>
      <c r="AL76">
        <v>84.805526992708593</v>
      </c>
      <c r="AM76">
        <v>39.669007814354444</v>
      </c>
      <c r="AN76">
        <v>31.408571542765202</v>
      </c>
      <c r="AO76">
        <v>22.5394870536946</v>
      </c>
      <c r="AP76">
        <v>9.9224670372983752</v>
      </c>
      <c r="AQ76">
        <v>6.8945025380263871</v>
      </c>
      <c r="AR76">
        <v>6.4610177727887788</v>
      </c>
      <c r="AS76">
        <v>3.6847025499206865</v>
      </c>
      <c r="AT76">
        <v>6.8487183946741084</v>
      </c>
      <c r="AU76">
        <v>4.8038780476903185</v>
      </c>
      <c r="AV76">
        <v>3.8893856481027456</v>
      </c>
      <c r="AW76">
        <v>4.6894589682325432</v>
      </c>
      <c r="AX76">
        <v>5.9238943526690946</v>
      </c>
      <c r="AY76">
        <v>8.9786376502612768</v>
      </c>
      <c r="AZ76">
        <v>12.354165569312215</v>
      </c>
      <c r="BA76">
        <v>6.7951089705236711</v>
      </c>
      <c r="BB76">
        <v>-0.3876270295873212</v>
      </c>
      <c r="BC76">
        <v>1.816537691065264</v>
      </c>
      <c r="BD76">
        <v>5.5391746755001776</v>
      </c>
      <c r="BE76">
        <v>4.2055298137984067</v>
      </c>
      <c r="BF76">
        <v>4.1239538903665505</v>
      </c>
      <c r="BG76">
        <v>2.8565430839338433</v>
      </c>
      <c r="BH76">
        <v>1.306439076945594</v>
      </c>
      <c r="BI76">
        <v>2.4385266072111733</v>
      </c>
      <c r="BJ76">
        <v>3.7410984726948868</v>
      </c>
      <c r="BK76">
        <v>4.8490746176821204</v>
      </c>
      <c r="BL76">
        <v>3.822679868077401</v>
      </c>
      <c r="BM76">
        <v>0.75333845671808319</v>
      </c>
      <c r="BN76">
        <v>5.372329864731114</v>
      </c>
      <c r="BO76">
        <v>15.782419402399</v>
      </c>
      <c r="BP76">
        <v>8.0547863834350153</v>
      </c>
      <c r="BQ76">
        <v>3.7333610768522192</v>
      </c>
    </row>
    <row r="77" spans="1:69" hidden="1" x14ac:dyDescent="0.2">
      <c r="A77" t="s">
        <v>215</v>
      </c>
      <c r="B77" t="s">
        <v>216</v>
      </c>
      <c r="C77" t="s">
        <v>71</v>
      </c>
      <c r="D77" t="s">
        <v>72</v>
      </c>
      <c r="G77">
        <v>-0.34265570031773507</v>
      </c>
      <c r="H77">
        <v>-8.0677641911591991E-2</v>
      </c>
      <c r="I77">
        <v>5.0965100579140881</v>
      </c>
      <c r="J77">
        <v>2.9231537446852656</v>
      </c>
      <c r="K77">
        <v>0.33346021028802397</v>
      </c>
      <c r="L77">
        <v>1.7729444928900904</v>
      </c>
      <c r="M77">
        <v>2.192742370602204</v>
      </c>
      <c r="N77">
        <v>4.241052568721642</v>
      </c>
      <c r="O77">
        <v>6.2793772639693373</v>
      </c>
      <c r="P77">
        <v>-0.86960963525800139</v>
      </c>
      <c r="Q77">
        <v>-3.3774335662302093</v>
      </c>
      <c r="R77">
        <v>0.3830636713376947</v>
      </c>
      <c r="S77">
        <v>7.3929989072960325</v>
      </c>
      <c r="T77">
        <v>-1.234292526751517</v>
      </c>
      <c r="U77">
        <v>7.8524911397498016</v>
      </c>
      <c r="V77">
        <v>11.288283400754381</v>
      </c>
      <c r="W77">
        <v>3.5865467663393531</v>
      </c>
      <c r="X77">
        <v>10.713130928198609</v>
      </c>
      <c r="Y77">
        <v>4.9055373781328626E-2</v>
      </c>
      <c r="Z77">
        <v>2.5658780939272532</v>
      </c>
      <c r="AA77">
        <v>4.2705315051437651</v>
      </c>
      <c r="AB77">
        <v>2.7028783231639153</v>
      </c>
      <c r="AC77">
        <v>-2.7339799449682403</v>
      </c>
      <c r="AD77">
        <v>31.787763181580146</v>
      </c>
      <c r="AE77">
        <v>-5.2731554560636482</v>
      </c>
      <c r="AF77">
        <v>-6.1194919961425711</v>
      </c>
      <c r="AG77">
        <v>3.1055037142964323</v>
      </c>
      <c r="AH77">
        <v>5.5847318993505155</v>
      </c>
      <c r="AI77">
        <v>3.2713746101890706</v>
      </c>
      <c r="AJ77">
        <v>19.084290228341217</v>
      </c>
      <c r="AK77">
        <v>15.532225868371668</v>
      </c>
      <c r="AL77">
        <v>13.376864229636482</v>
      </c>
      <c r="AM77">
        <v>2.931081714242211</v>
      </c>
      <c r="AN77">
        <v>12.706369018741185</v>
      </c>
      <c r="AO77">
        <v>0.23913803873179518</v>
      </c>
      <c r="AP77">
        <v>0.20665555091619581</v>
      </c>
      <c r="AQ77">
        <v>-0.15014693764281617</v>
      </c>
      <c r="AR77">
        <v>2.2227230926195887</v>
      </c>
      <c r="AS77">
        <v>6.7999999536558846</v>
      </c>
      <c r="AT77">
        <v>-5.7553353403770728</v>
      </c>
      <c r="AU77">
        <v>-3.6214342130330124</v>
      </c>
      <c r="AV77">
        <v>12.767978327609313</v>
      </c>
      <c r="AW77">
        <v>3.911362456219706</v>
      </c>
      <c r="AX77">
        <v>9.8755119111955736</v>
      </c>
      <c r="AY77">
        <v>11.552349804496657</v>
      </c>
      <c r="AZ77">
        <v>17.220579480555401</v>
      </c>
      <c r="BA77">
        <v>30.31167308142193</v>
      </c>
      <c r="BB77">
        <v>24.146415290946365</v>
      </c>
      <c r="BC77">
        <v>1.4445723174068235</v>
      </c>
      <c r="BD77">
        <v>20.061875081956956</v>
      </c>
      <c r="BE77">
        <v>33.541405017997079</v>
      </c>
      <c r="BF77">
        <v>4.901979299078036</v>
      </c>
      <c r="BG77">
        <v>10.981788290868309</v>
      </c>
      <c r="BH77">
        <v>10.83654277897466</v>
      </c>
      <c r="BI77">
        <v>10.397957271046508</v>
      </c>
      <c r="BJ77">
        <v>6.6768222196087095</v>
      </c>
      <c r="BK77">
        <v>12.382276100106978</v>
      </c>
      <c r="BL77">
        <v>12.860432641309444</v>
      </c>
      <c r="BM77">
        <v>18.254572677522177</v>
      </c>
      <c r="BN77">
        <v>21.76327257170054</v>
      </c>
      <c r="BO77">
        <v>34.666605000446992</v>
      </c>
      <c r="BP77">
        <v>32.913072265467633</v>
      </c>
      <c r="BQ77">
        <v>25.538785940473048</v>
      </c>
    </row>
    <row r="78" spans="1:69" hidden="1" x14ac:dyDescent="0.2">
      <c r="A78" t="s">
        <v>217</v>
      </c>
      <c r="B78" t="s">
        <v>218</v>
      </c>
      <c r="C78" t="s">
        <v>71</v>
      </c>
      <c r="D78" t="s">
        <v>72</v>
      </c>
      <c r="F78">
        <v>2.7821588820764447</v>
      </c>
      <c r="G78">
        <v>3.9739449888866574</v>
      </c>
      <c r="H78">
        <v>3.1624704179470768</v>
      </c>
      <c r="I78">
        <v>4.6110312225673908</v>
      </c>
      <c r="J78">
        <v>4.1970401960937664</v>
      </c>
      <c r="K78">
        <v>4.4421888998450925</v>
      </c>
      <c r="L78">
        <v>3.2418902815614956</v>
      </c>
      <c r="M78">
        <v>4.1966624438771021</v>
      </c>
      <c r="N78">
        <v>4.2089879499471294</v>
      </c>
      <c r="O78">
        <v>5.3933565138577677</v>
      </c>
      <c r="P78">
        <v>6.6573306296942647</v>
      </c>
      <c r="Q78">
        <v>6.9410110034281232</v>
      </c>
      <c r="R78">
        <v>9.0765274740911366</v>
      </c>
      <c r="S78">
        <v>12.531996146231428</v>
      </c>
      <c r="T78">
        <v>13.191014776303199</v>
      </c>
      <c r="U78">
        <v>10.823415094607981</v>
      </c>
      <c r="V78">
        <v>8.8428823894360704</v>
      </c>
      <c r="W78">
        <v>8.8334653229959201</v>
      </c>
      <c r="X78">
        <v>7.9432081384262148</v>
      </c>
      <c r="Y78">
        <v>11.546087589527914</v>
      </c>
      <c r="Z78">
        <v>9.6440364624767128</v>
      </c>
      <c r="AA78">
        <v>9.5667168273103229</v>
      </c>
      <c r="AB78">
        <v>7.0860154865069376</v>
      </c>
      <c r="AC78">
        <v>6.355448312783146</v>
      </c>
      <c r="AD78">
        <v>5.2056003471257171</v>
      </c>
      <c r="AE78">
        <v>3.9464651633965531</v>
      </c>
      <c r="AF78">
        <v>3.4566593009781315</v>
      </c>
      <c r="AG78">
        <v>3.2200032709303059</v>
      </c>
      <c r="AH78">
        <v>5.1768957228801042</v>
      </c>
      <c r="AI78">
        <v>4.2969344166119186</v>
      </c>
      <c r="AJ78">
        <v>8.246788898365736</v>
      </c>
      <c r="AK78">
        <v>6.7107712115370646</v>
      </c>
      <c r="AL78">
        <v>5.9727682694667834</v>
      </c>
      <c r="AM78">
        <v>5.2709823427596518</v>
      </c>
      <c r="AN78">
        <v>8.6759675785591099</v>
      </c>
      <c r="AO78">
        <v>3.7835567935022567</v>
      </c>
      <c r="AP78">
        <v>3.8852077507324054</v>
      </c>
      <c r="AQ78">
        <v>3.3132067902248821</v>
      </c>
      <c r="AR78">
        <v>2.6185805670079958</v>
      </c>
      <c r="AS78">
        <v>3.2701337122460643</v>
      </c>
      <c r="AT78">
        <v>3.6602915171235253</v>
      </c>
      <c r="AU78">
        <v>2.9536564232031566</v>
      </c>
      <c r="AV78">
        <v>2.2860866288158377</v>
      </c>
      <c r="AW78">
        <v>2.9688107020412673</v>
      </c>
      <c r="AX78">
        <v>2.622703697740846</v>
      </c>
      <c r="AY78">
        <v>2.8955394881845677</v>
      </c>
      <c r="AZ78">
        <v>2.9663457743623241</v>
      </c>
      <c r="BA78">
        <v>3.3732831962193899</v>
      </c>
      <c r="BB78">
        <v>1.7393928015413849</v>
      </c>
      <c r="BC78">
        <v>0.92011314942975275</v>
      </c>
      <c r="BD78">
        <v>1.6693450504257328</v>
      </c>
      <c r="BE78">
        <v>1.702379823175022</v>
      </c>
      <c r="BF78">
        <v>1.1449274411919959</v>
      </c>
      <c r="BG78">
        <v>0.90255070883426924</v>
      </c>
      <c r="BH78">
        <v>1.2345364585961249</v>
      </c>
      <c r="BI78">
        <v>0.88548243685633565</v>
      </c>
      <c r="BJ78">
        <v>1.4999372718682764</v>
      </c>
      <c r="BK78">
        <v>1.865334231512648</v>
      </c>
      <c r="BL78">
        <v>2.3385865499996754</v>
      </c>
      <c r="BM78">
        <v>2.0387441859624431</v>
      </c>
      <c r="BN78">
        <v>2.7426271275739396</v>
      </c>
      <c r="BO78">
        <v>6.7092667026663833</v>
      </c>
      <c r="BP78">
        <v>6.2900550545503791</v>
      </c>
      <c r="BQ78">
        <v>3.3445846291338057</v>
      </c>
    </row>
    <row r="79" spans="1:69" hidden="1" x14ac:dyDescent="0.2">
      <c r="A79" t="s">
        <v>219</v>
      </c>
      <c r="B79" t="s">
        <v>220</v>
      </c>
      <c r="C79" t="s">
        <v>71</v>
      </c>
      <c r="D79" t="s">
        <v>72</v>
      </c>
      <c r="F79">
        <v>3.3938505869563613</v>
      </c>
      <c r="G79">
        <v>1.0998170494389399</v>
      </c>
      <c r="H79">
        <v>4.6808125007890808</v>
      </c>
      <c r="I79">
        <v>3.7386960587440896</v>
      </c>
      <c r="J79">
        <v>2.7282875043644239</v>
      </c>
      <c r="K79">
        <v>4.7166480930888994</v>
      </c>
      <c r="L79">
        <v>2.3231768157864607</v>
      </c>
      <c r="M79">
        <v>2.3676421442567346</v>
      </c>
      <c r="N79">
        <v>3.5893560890207823</v>
      </c>
      <c r="O79">
        <v>4.3582631784284018</v>
      </c>
      <c r="P79">
        <v>5.9759671679812385</v>
      </c>
      <c r="Q79">
        <v>5.553683675971044</v>
      </c>
      <c r="R79">
        <v>10.004831972100376</v>
      </c>
      <c r="S79">
        <v>12.853755267591509</v>
      </c>
      <c r="T79">
        <v>8.2207005141062552</v>
      </c>
      <c r="U79">
        <v>8.4495254785245066</v>
      </c>
      <c r="V79">
        <v>8.6865266637234697</v>
      </c>
      <c r="W79">
        <v>7.2482284261007095</v>
      </c>
      <c r="X79">
        <v>11.488763144686317</v>
      </c>
      <c r="Y79">
        <v>14.501653026748755</v>
      </c>
      <c r="Z79">
        <v>10.047858744175258</v>
      </c>
      <c r="AA79">
        <v>7.5033046305210434</v>
      </c>
      <c r="AB79">
        <v>7.7999846109824773</v>
      </c>
      <c r="AC79">
        <v>10.922317469012469</v>
      </c>
      <c r="AD79">
        <v>3.6857773206755411</v>
      </c>
      <c r="AE79">
        <v>2.4538810075898567</v>
      </c>
      <c r="AF79">
        <v>7.1893613143302275</v>
      </c>
      <c r="AG79">
        <v>7.1194117182331667</v>
      </c>
      <c r="AH79">
        <v>5.9606552478371952</v>
      </c>
      <c r="AI79">
        <v>7.6021126514211659</v>
      </c>
      <c r="AJ79">
        <v>7.8451975316286848</v>
      </c>
      <c r="AK79">
        <v>13.164398974014759</v>
      </c>
      <c r="AL79">
        <v>7.7426456757990536</v>
      </c>
      <c r="AM79">
        <v>22.080150494604652</v>
      </c>
      <c r="AN79">
        <v>10.288490712873049</v>
      </c>
      <c r="AO79">
        <v>10.81476731973909</v>
      </c>
      <c r="AP79">
        <v>6.5777461890281046</v>
      </c>
      <c r="AQ79">
        <v>5.8259395472671329</v>
      </c>
      <c r="AR79">
        <v>7.7896874054967853</v>
      </c>
      <c r="AS79">
        <v>9.7770614451239624</v>
      </c>
      <c r="AT79">
        <v>6.5541184360084372</v>
      </c>
      <c r="AU79">
        <v>5.2537412781922939</v>
      </c>
      <c r="AV79">
        <v>6.8004417591580335</v>
      </c>
      <c r="AW79">
        <v>6.3654582626611216</v>
      </c>
      <c r="AX79">
        <v>10.072132103637003</v>
      </c>
      <c r="AY79">
        <v>7.4613445396577731</v>
      </c>
      <c r="AZ79">
        <v>7.0366610745821561</v>
      </c>
      <c r="BA79">
        <v>10.129115720623133</v>
      </c>
      <c r="BB79">
        <v>1.9302979254708816</v>
      </c>
      <c r="BC79">
        <v>6.2111775607000439</v>
      </c>
      <c r="BD79">
        <v>8.4085861010016103</v>
      </c>
      <c r="BE79">
        <v>5.9609613578305911</v>
      </c>
      <c r="BF79">
        <v>2.9940759485625605</v>
      </c>
      <c r="BG79">
        <v>2.116599334785441</v>
      </c>
      <c r="BH79">
        <v>3.1392599551900702</v>
      </c>
      <c r="BI79">
        <v>2.5178459360124066</v>
      </c>
      <c r="BJ79">
        <v>5.8734089465466042</v>
      </c>
      <c r="BK79">
        <v>4.9791278493864297</v>
      </c>
      <c r="BL79">
        <v>4.0948231557302393</v>
      </c>
      <c r="BM79">
        <v>3.1716610681579596</v>
      </c>
      <c r="BN79">
        <v>8.953971740622606</v>
      </c>
      <c r="BO79">
        <v>9.8176907152375037</v>
      </c>
      <c r="BP79">
        <v>6.0787933881826177</v>
      </c>
      <c r="BQ79">
        <v>5.9999553993377788</v>
      </c>
    </row>
    <row r="80" spans="1:69" hidden="1" x14ac:dyDescent="0.2">
      <c r="A80" t="s">
        <v>221</v>
      </c>
      <c r="B80" t="s">
        <v>222</v>
      </c>
      <c r="C80" t="s">
        <v>71</v>
      </c>
      <c r="D80" t="s">
        <v>72</v>
      </c>
      <c r="F80">
        <v>5.3417780221701889</v>
      </c>
      <c r="G80">
        <v>3.9739449888866574</v>
      </c>
      <c r="H80">
        <v>5.1466101079079749</v>
      </c>
      <c r="I80">
        <v>7.1757683898717914</v>
      </c>
      <c r="J80">
        <v>5.0232899398266539</v>
      </c>
      <c r="K80">
        <v>4.7238436262714032</v>
      </c>
      <c r="L80">
        <v>7.3620643714488807</v>
      </c>
      <c r="M80">
        <v>12.063766512227204</v>
      </c>
      <c r="N80">
        <v>4.1503259009631392</v>
      </c>
      <c r="O80">
        <v>3.848593171271915</v>
      </c>
      <c r="P80">
        <v>7.364105655530139</v>
      </c>
      <c r="Q80">
        <v>8.2440658240610816</v>
      </c>
      <c r="R80">
        <v>13.772039547028527</v>
      </c>
      <c r="S80">
        <v>22.07140344181775</v>
      </c>
      <c r="T80">
        <v>13.567992992561926</v>
      </c>
      <c r="U80">
        <v>13.124676909532383</v>
      </c>
      <c r="V80">
        <v>9.4186615661706128</v>
      </c>
      <c r="W80">
        <v>7.4541922916149872</v>
      </c>
      <c r="X80">
        <v>8.3049803497947039</v>
      </c>
      <c r="Y80">
        <v>9.6355844767022916</v>
      </c>
      <c r="Z80">
        <v>11.635456298110029</v>
      </c>
      <c r="AA80">
        <v>9.0635646406945938</v>
      </c>
      <c r="AB80">
        <v>8.1953415946888839</v>
      </c>
      <c r="AC80">
        <v>8.453940738851756</v>
      </c>
      <c r="AD80">
        <v>5.2248719056480155</v>
      </c>
      <c r="AE80">
        <v>4.7582877458975474</v>
      </c>
      <c r="AF80">
        <v>4.2923687492501585</v>
      </c>
      <c r="AG80">
        <v>7.6841987901064215</v>
      </c>
      <c r="AH80">
        <v>6.5342325154477408</v>
      </c>
      <c r="AI80">
        <v>5.1972253137192439</v>
      </c>
      <c r="AJ80">
        <v>1.5163568690559117</v>
      </c>
      <c r="AK80">
        <v>0.89369224522408786</v>
      </c>
      <c r="AL80">
        <v>1.7654407963493526</v>
      </c>
      <c r="AM80">
        <v>1.8449758062886445</v>
      </c>
      <c r="AN80">
        <v>4.2014559584318647</v>
      </c>
      <c r="AO80">
        <v>-8.1356519295411545E-2</v>
      </c>
      <c r="AP80">
        <v>2.08552267002284</v>
      </c>
      <c r="AQ80">
        <v>3.1039944502741861</v>
      </c>
      <c r="AR80">
        <v>0.93141329072938106</v>
      </c>
      <c r="AS80">
        <v>1.6373924326763927</v>
      </c>
      <c r="AT80">
        <v>3.3046310840776414</v>
      </c>
      <c r="AU80">
        <v>0.9431332440368152</v>
      </c>
      <c r="AV80">
        <v>0.18998295392013631</v>
      </c>
      <c r="AW80">
        <v>0.60223979068376821</v>
      </c>
      <c r="AX80">
        <v>0.92937428794277821</v>
      </c>
      <c r="AY80">
        <v>0.92018021350898493</v>
      </c>
      <c r="AZ80">
        <v>2.7543982454277369</v>
      </c>
      <c r="BA80">
        <v>3.0375864160711075</v>
      </c>
      <c r="BB80">
        <v>1.7752256194483635</v>
      </c>
      <c r="BC80">
        <v>0.34887294642480526</v>
      </c>
      <c r="BD80">
        <v>2.6009284003848165</v>
      </c>
      <c r="BE80">
        <v>2.9453460228264561</v>
      </c>
      <c r="BF80">
        <v>2.5613941595223224</v>
      </c>
      <c r="BG80">
        <v>1.6446705160891355</v>
      </c>
      <c r="BH80">
        <v>1.6327023791813389</v>
      </c>
      <c r="BI80">
        <v>5.5195397756889975E-2</v>
      </c>
      <c r="BJ80">
        <v>0.83604593309081565</v>
      </c>
      <c r="BK80">
        <v>1.98705901186365</v>
      </c>
      <c r="BL80">
        <v>1.4818590362763615</v>
      </c>
      <c r="BM80">
        <v>1.6384159686061395</v>
      </c>
      <c r="BN80">
        <v>2.4928420246526457</v>
      </c>
      <c r="BO80">
        <v>6.1727807570279225</v>
      </c>
      <c r="BP80">
        <v>3.4774374864339705</v>
      </c>
      <c r="BQ80">
        <v>1.7086384024781296</v>
      </c>
    </row>
    <row r="81" spans="1:69" hidden="1" x14ac:dyDescent="0.2">
      <c r="A81" t="s">
        <v>223</v>
      </c>
      <c r="B81" t="s">
        <v>224</v>
      </c>
      <c r="C81" t="s">
        <v>71</v>
      </c>
      <c r="D81" t="s">
        <v>72</v>
      </c>
      <c r="F81">
        <v>0.60897874445274169</v>
      </c>
      <c r="G81">
        <v>1.40252478838147</v>
      </c>
      <c r="H81">
        <v>-0.96926945435485834</v>
      </c>
      <c r="I81">
        <v>3.1407426456676149</v>
      </c>
      <c r="J81">
        <v>7.9509346220106352</v>
      </c>
      <c r="K81">
        <v>2.4828767123287605</v>
      </c>
      <c r="L81">
        <v>-3.5982175131137097</v>
      </c>
      <c r="M81">
        <v>3.291134804119892</v>
      </c>
      <c r="N81">
        <v>6.494231833179569</v>
      </c>
      <c r="O81">
        <v>6.8312878034419384</v>
      </c>
      <c r="P81">
        <v>3.359260657728754</v>
      </c>
      <c r="Q81">
        <v>14.725371907384343</v>
      </c>
      <c r="R81">
        <v>15.997451204613242</v>
      </c>
      <c r="S81">
        <v>29.645712668550289</v>
      </c>
      <c r="T81">
        <v>24.318648621366165</v>
      </c>
      <c r="U81">
        <v>7.9114472052154809</v>
      </c>
      <c r="V81">
        <v>-3.2029747896871186E-2</v>
      </c>
      <c r="W81">
        <v>4.4318846298892822</v>
      </c>
      <c r="X81">
        <v>8.141350301764902</v>
      </c>
      <c r="Y81">
        <v>17.311704484999368</v>
      </c>
      <c r="Z81">
        <v>0.95909000884763884</v>
      </c>
      <c r="AA81">
        <v>12.139872884209765</v>
      </c>
      <c r="AB81">
        <v>6.8167553480744232</v>
      </c>
      <c r="AC81">
        <v>3.0074962959252218</v>
      </c>
      <c r="AD81">
        <v>8.21525467770266</v>
      </c>
      <c r="AE81">
        <v>3.0512977789470312</v>
      </c>
      <c r="AF81">
        <v>7.3400103804891046</v>
      </c>
      <c r="AG81">
        <v>7.3280156214279941</v>
      </c>
      <c r="AH81">
        <v>2.8482964773603499</v>
      </c>
      <c r="AI81">
        <v>6.679469364806522</v>
      </c>
      <c r="AJ81">
        <v>5.9931316401637957</v>
      </c>
      <c r="AK81">
        <v>6.3066719780340321</v>
      </c>
      <c r="AL81">
        <v>7.2373450381542312</v>
      </c>
      <c r="AM81">
        <v>0.82803804604640163</v>
      </c>
      <c r="AN81">
        <v>1.1304145642476016</v>
      </c>
      <c r="AO81">
        <v>2.8684422999149461</v>
      </c>
      <c r="AP81">
        <v>3.2900559949146952</v>
      </c>
      <c r="AQ81">
        <v>7.4479534267524912</v>
      </c>
      <c r="AR81">
        <v>6.7318209442208712</v>
      </c>
      <c r="AS81">
        <v>-4.7198738791705921</v>
      </c>
      <c r="AT81">
        <v>3.2453962100387628</v>
      </c>
      <c r="AU81">
        <v>3.2664474825378988</v>
      </c>
      <c r="AV81">
        <v>7.7027793573175387</v>
      </c>
      <c r="AW81">
        <v>2.1940085921537218</v>
      </c>
      <c r="AX81">
        <v>6.6451859814478809</v>
      </c>
      <c r="AY81">
        <v>3.746758818814854</v>
      </c>
      <c r="AZ81">
        <v>3.024456410386378</v>
      </c>
      <c r="BA81">
        <v>2.1581188165359748</v>
      </c>
      <c r="BB81">
        <v>1.3906950207908721</v>
      </c>
      <c r="BC81">
        <v>4.2297849990792855</v>
      </c>
      <c r="BD81">
        <v>9.3913405185907237</v>
      </c>
      <c r="BE81">
        <v>3.5765135209381071</v>
      </c>
      <c r="BF81">
        <v>3.621296542024794</v>
      </c>
      <c r="BG81">
        <v>12.505405677961988</v>
      </c>
      <c r="BH81">
        <v>2.5308980469022799</v>
      </c>
      <c r="BI81">
        <v>2.6333266433458107</v>
      </c>
      <c r="BJ81">
        <v>1.6984575705199347</v>
      </c>
      <c r="BK81">
        <v>1.4257180076414784</v>
      </c>
      <c r="BL81">
        <v>1.5480221763503437</v>
      </c>
      <c r="BM81">
        <v>-1.4839796567757446</v>
      </c>
      <c r="BN81">
        <v>-2.5130621743177244</v>
      </c>
      <c r="BO81">
        <v>2.4479843436949977</v>
      </c>
      <c r="BP81">
        <v>4.0995759131793506</v>
      </c>
      <c r="BQ81">
        <v>4.2000005755224095</v>
      </c>
    </row>
    <row r="82" spans="1:69" hidden="1" x14ac:dyDescent="0.2">
      <c r="A82" t="s">
        <v>225</v>
      </c>
      <c r="B82" t="s">
        <v>226</v>
      </c>
      <c r="C82" t="s">
        <v>71</v>
      </c>
      <c r="D82" t="s">
        <v>72</v>
      </c>
      <c r="F82">
        <v>3.2183332819519563</v>
      </c>
      <c r="G82">
        <v>4.8898893240768615</v>
      </c>
      <c r="H82">
        <v>5.5657982716725201</v>
      </c>
      <c r="I82">
        <v>4.171210374559692</v>
      </c>
      <c r="J82">
        <v>3.0425720744286195</v>
      </c>
      <c r="K82">
        <v>2.9958285351121532</v>
      </c>
      <c r="L82">
        <v>3.0539649381933174</v>
      </c>
      <c r="M82">
        <v>4.4195059114669561</v>
      </c>
      <c r="N82">
        <v>7.3490562061501663</v>
      </c>
      <c r="O82">
        <v>5.3933565138577677</v>
      </c>
      <c r="P82">
        <v>5.8748309020436551</v>
      </c>
      <c r="Q82">
        <v>6.908856622390843</v>
      </c>
      <c r="R82">
        <v>7.7335776756909809</v>
      </c>
      <c r="S82">
        <v>11.338271677295324</v>
      </c>
      <c r="T82">
        <v>13.638332152351722</v>
      </c>
      <c r="U82">
        <v>10.823415094607981</v>
      </c>
      <c r="V82">
        <v>8.8428823894360704</v>
      </c>
      <c r="W82">
        <v>9.2346823935187672</v>
      </c>
      <c r="X82">
        <v>10.2107264491423</v>
      </c>
      <c r="Y82">
        <v>11.546087589527914</v>
      </c>
      <c r="Z82">
        <v>11.480775951215023</v>
      </c>
      <c r="AA82">
        <v>12.032713403959121</v>
      </c>
      <c r="AB82">
        <v>9.612537203636748</v>
      </c>
      <c r="AC82">
        <v>7.073274766739118</v>
      </c>
      <c r="AD82">
        <v>5.5041418225943488</v>
      </c>
      <c r="AE82">
        <v>5.2394149768332738</v>
      </c>
      <c r="AF82">
        <v>2.4702825022606874</v>
      </c>
      <c r="AG82">
        <v>3.1790302939038071</v>
      </c>
      <c r="AH82">
        <v>3.1839941052927543</v>
      </c>
      <c r="AI82">
        <v>2.6659958018508121</v>
      </c>
      <c r="AJ82">
        <v>2.4551156757304398</v>
      </c>
      <c r="AK82">
        <v>2.0203504065425335</v>
      </c>
      <c r="AL82">
        <v>1.5577241946959361</v>
      </c>
      <c r="AM82">
        <v>0.952852945745434</v>
      </c>
      <c r="AN82">
        <v>1.1506461875145533</v>
      </c>
      <c r="AO82">
        <v>1.3173574453073655</v>
      </c>
      <c r="AP82">
        <v>0.87476205986575906</v>
      </c>
      <c r="AQ82">
        <v>0.90851358619916311</v>
      </c>
      <c r="AR82">
        <v>0.22016767311087904</v>
      </c>
      <c r="AS82">
        <v>1.4175733376841464</v>
      </c>
      <c r="AT82">
        <v>1.902397975115349</v>
      </c>
      <c r="AU82">
        <v>2.0642779232968707</v>
      </c>
      <c r="AV82">
        <v>1.8013794481131811</v>
      </c>
      <c r="AW82">
        <v>1.6336393097658828</v>
      </c>
      <c r="AX82">
        <v>1.9621033634364267</v>
      </c>
      <c r="AY82">
        <v>1.9973795313601244</v>
      </c>
      <c r="AZ82">
        <v>2.3850302032723931</v>
      </c>
      <c r="BA82">
        <v>2.3007991876253868</v>
      </c>
      <c r="BB82">
        <v>0.10596113927414308</v>
      </c>
      <c r="BC82">
        <v>1.0894464238029968</v>
      </c>
      <c r="BD82">
        <v>0.85147836320476245</v>
      </c>
      <c r="BE82">
        <v>1.0820469008958327</v>
      </c>
      <c r="BF82">
        <v>0.7478758074222327</v>
      </c>
      <c r="BG82">
        <v>0.57079505438828448</v>
      </c>
      <c r="BH82">
        <v>1.1344400901393499</v>
      </c>
      <c r="BI82">
        <v>0.51725823220903067</v>
      </c>
      <c r="BJ82">
        <v>0.58634315796170711</v>
      </c>
      <c r="BK82">
        <v>1.1145933133280579</v>
      </c>
      <c r="BL82">
        <v>1.2105230833679315</v>
      </c>
      <c r="BM82">
        <v>2.9779786817469613</v>
      </c>
      <c r="BN82">
        <v>1.2218161407342478</v>
      </c>
      <c r="BO82">
        <v>3.2206321699229932</v>
      </c>
      <c r="BP82">
        <v>5.303571735769367</v>
      </c>
      <c r="BQ82">
        <v>2.312957986689355</v>
      </c>
    </row>
    <row r="83" spans="1:69" hidden="1" x14ac:dyDescent="0.2">
      <c r="A83" t="s">
        <v>227</v>
      </c>
      <c r="B83" t="s">
        <v>228</v>
      </c>
      <c r="C83" t="s">
        <v>71</v>
      </c>
      <c r="D83" t="s">
        <v>72</v>
      </c>
      <c r="BB83">
        <v>1.5944743771879359</v>
      </c>
      <c r="BC83">
        <v>6.9486306656159229</v>
      </c>
      <c r="BD83">
        <v>-0.95200229717491425</v>
      </c>
      <c r="BE83">
        <v>-2.4001235279352215</v>
      </c>
      <c r="BF83">
        <v>1.5162118234451896</v>
      </c>
      <c r="BG83">
        <v>2.6717249448102223</v>
      </c>
      <c r="BH83">
        <v>4.8785495530981393</v>
      </c>
      <c r="BI83">
        <v>7.8663873854819713</v>
      </c>
      <c r="BJ83">
        <v>0.37589477517786918</v>
      </c>
      <c r="BK83">
        <v>-0.42537910689728164</v>
      </c>
      <c r="BL83">
        <v>3.4998970567114611</v>
      </c>
      <c r="BM83">
        <v>-0.11155494865708704</v>
      </c>
      <c r="BN83">
        <v>2.0254441057113723</v>
      </c>
      <c r="BO83">
        <v>5.779142882805715</v>
      </c>
      <c r="BP83">
        <v>4.0731868743961002</v>
      </c>
    </row>
    <row r="84" spans="1:69" hidden="1" x14ac:dyDescent="0.2">
      <c r="A84" t="s">
        <v>229</v>
      </c>
      <c r="B84" t="s">
        <v>230</v>
      </c>
      <c r="C84" t="s">
        <v>71</v>
      </c>
      <c r="D84" t="s">
        <v>72</v>
      </c>
      <c r="P84">
        <v>7.0761394286940771</v>
      </c>
      <c r="Q84">
        <v>14.014457473182105</v>
      </c>
      <c r="R84">
        <v>3.5808311168931368</v>
      </c>
      <c r="S84">
        <v>14.782681097884137</v>
      </c>
      <c r="T84">
        <v>-2.2185899303153178E-2</v>
      </c>
      <c r="U84">
        <v>1.1444153055939239</v>
      </c>
      <c r="V84">
        <v>-1.3418875194690969</v>
      </c>
      <c r="W84">
        <v>7.370160724406233</v>
      </c>
      <c r="X84">
        <v>9.995330536622248</v>
      </c>
      <c r="Y84">
        <v>14.75539189990873</v>
      </c>
      <c r="Z84">
        <v>8.5826011333090406</v>
      </c>
      <c r="AA84">
        <v>7.5033046305210434</v>
      </c>
      <c r="AB84">
        <v>3.0754294867066108</v>
      </c>
      <c r="AC84">
        <v>4.8154761971186133</v>
      </c>
      <c r="AD84">
        <v>3.2843587888107493</v>
      </c>
      <c r="AE84">
        <v>1.948436609471571</v>
      </c>
      <c r="AF84">
        <v>2.7684510798751489</v>
      </c>
      <c r="AG84">
        <v>4.1992461278610733</v>
      </c>
      <c r="AH84">
        <v>4.7275045816268459</v>
      </c>
      <c r="AI84">
        <v>4.9496500022292906</v>
      </c>
      <c r="AJ84">
        <v>5.1013712207022905</v>
      </c>
      <c r="AK84">
        <v>3.030566511086505</v>
      </c>
      <c r="AL84">
        <v>3.0122213065656211</v>
      </c>
      <c r="AM84">
        <v>2.6150313118472184</v>
      </c>
      <c r="AN84">
        <v>2.2477675261390004</v>
      </c>
      <c r="AO84">
        <v>1.8696044083083052</v>
      </c>
      <c r="AP84">
        <v>0.65120319309272645</v>
      </c>
      <c r="AQ84">
        <v>2.991246825114402</v>
      </c>
      <c r="AR84">
        <v>-0.78459758228372323</v>
      </c>
      <c r="AS84">
        <v>1.0789062104824581</v>
      </c>
      <c r="AT84">
        <v>1.1088468390226751</v>
      </c>
      <c r="AU84">
        <v>9.4182889313259466E-2</v>
      </c>
      <c r="AV84">
        <v>-0.36412535644490163</v>
      </c>
      <c r="AW84">
        <v>0.99330611340207042</v>
      </c>
      <c r="AX84">
        <v>2.0969946720524035</v>
      </c>
      <c r="AY84">
        <v>1.3847089390547325</v>
      </c>
      <c r="AZ84">
        <v>3.1744599354754257</v>
      </c>
      <c r="BA84">
        <v>5.0049782860530456</v>
      </c>
      <c r="BB84">
        <v>5.3616196135863845</v>
      </c>
      <c r="BC84">
        <v>3.6029845733359167</v>
      </c>
      <c r="BD84">
        <v>1.5956324343621162</v>
      </c>
      <c r="BE84">
        <v>7.1225010157379671</v>
      </c>
      <c r="BF84">
        <v>0.63694464898350134</v>
      </c>
      <c r="BG84">
        <v>3.0238942373196522</v>
      </c>
      <c r="BH84">
        <v>-5.2503587832600829</v>
      </c>
      <c r="BI84">
        <v>2.1941771194573363</v>
      </c>
      <c r="BJ84">
        <v>9.5598116169544767</v>
      </c>
      <c r="BK84">
        <v>9.1922005571030638</v>
      </c>
      <c r="BL84">
        <v>-3.4313725490195992</v>
      </c>
      <c r="BM84">
        <v>-3.7443340182549605</v>
      </c>
      <c r="BN84">
        <v>1.8572402835154094</v>
      </c>
      <c r="BO84">
        <v>9.3982798752515748</v>
      </c>
      <c r="BP84">
        <v>6.2097350189978044</v>
      </c>
      <c r="BQ84">
        <v>5.4385372349327668</v>
      </c>
    </row>
    <row r="85" spans="1:69" hidden="1" x14ac:dyDescent="0.2">
      <c r="A85" t="s">
        <v>231</v>
      </c>
      <c r="B85" t="s">
        <v>232</v>
      </c>
      <c r="C85" t="s">
        <v>71</v>
      </c>
      <c r="D85" t="s">
        <v>72</v>
      </c>
      <c r="F85">
        <v>3.278445997779599</v>
      </c>
      <c r="G85">
        <v>1.3809206042225242</v>
      </c>
      <c r="H85">
        <v>-20.342807174917539</v>
      </c>
      <c r="I85">
        <v>33.540593172228938</v>
      </c>
      <c r="J85">
        <v>-3.0591072132046833</v>
      </c>
      <c r="K85">
        <v>4.1344261255635217</v>
      </c>
      <c r="L85">
        <v>6.2247346027321129</v>
      </c>
      <c r="M85">
        <v>6.4608750951963714</v>
      </c>
      <c r="N85">
        <v>4.9591249116751612</v>
      </c>
      <c r="O85">
        <v>-0.42019947621952269</v>
      </c>
      <c r="P85">
        <v>6.5041655979579218</v>
      </c>
      <c r="Q85">
        <v>-7.2769686127059856</v>
      </c>
      <c r="R85">
        <v>34.757654007479942</v>
      </c>
      <c r="S85">
        <v>65.41046803463226</v>
      </c>
      <c r="T85">
        <v>4.3722451913092044</v>
      </c>
      <c r="U85">
        <v>14.664935188591116</v>
      </c>
      <c r="V85">
        <v>9.7956800306457978</v>
      </c>
      <c r="W85">
        <v>2.8590740843683022</v>
      </c>
      <c r="X85">
        <v>18.983016034764731</v>
      </c>
      <c r="Y85">
        <v>36.78110196592786</v>
      </c>
      <c r="Z85">
        <v>10.442066699850855</v>
      </c>
      <c r="AA85">
        <v>16.903629245208649</v>
      </c>
      <c r="AB85">
        <v>2.9248421156471665</v>
      </c>
      <c r="AC85">
        <v>12.010217108534377</v>
      </c>
      <c r="AD85">
        <v>-1.2760517698061591</v>
      </c>
      <c r="AE85">
        <v>-20.809814065488368</v>
      </c>
      <c r="AF85">
        <v>0.99328323326113832</v>
      </c>
      <c r="AG85">
        <v>2.615134401570927</v>
      </c>
      <c r="AH85">
        <v>7.7280247911452449</v>
      </c>
      <c r="AI85">
        <v>15.358141390288466</v>
      </c>
      <c r="AJ85">
        <v>-11.366102531916752</v>
      </c>
      <c r="AK85">
        <v>0.21386695888921281</v>
      </c>
      <c r="AL85">
        <v>-0.50948077916767431</v>
      </c>
      <c r="AM85">
        <v>46.5514429443013</v>
      </c>
      <c r="AN85">
        <v>1.3391154879335687</v>
      </c>
      <c r="AO85">
        <v>13.562676743395286</v>
      </c>
      <c r="AP85">
        <v>0.94653683835619518</v>
      </c>
      <c r="AQ85">
        <v>-17.786401478440183</v>
      </c>
      <c r="AR85">
        <v>19.191335888387002</v>
      </c>
      <c r="AS85">
        <v>28.089343597003392</v>
      </c>
      <c r="AT85">
        <v>-0.16865893243166852</v>
      </c>
      <c r="AU85">
        <v>0.85580781423627172</v>
      </c>
      <c r="AV85">
        <v>-0.21712039573060338</v>
      </c>
      <c r="AW85">
        <v>7.7652785346057982</v>
      </c>
      <c r="AX85">
        <v>20.09447289466118</v>
      </c>
      <c r="AY85">
        <v>9.868137277707774</v>
      </c>
      <c r="AZ85">
        <v>4.2313616424725069</v>
      </c>
      <c r="BA85">
        <v>20.478959040974146</v>
      </c>
      <c r="BB85">
        <v>-18.074535104597828</v>
      </c>
      <c r="BC85">
        <v>16.564320214108875</v>
      </c>
      <c r="BD85">
        <v>12.681227773109953</v>
      </c>
      <c r="BE85">
        <v>-2.9419027036061038</v>
      </c>
      <c r="BF85">
        <v>-6.1579249344449067</v>
      </c>
      <c r="BG85">
        <v>-0.85139033332146141</v>
      </c>
      <c r="BH85">
        <v>-8.9271724532795531</v>
      </c>
      <c r="BI85">
        <v>-4.2697539797457154</v>
      </c>
      <c r="BJ85">
        <v>3.8203021444684282</v>
      </c>
      <c r="BK85">
        <v>7.1766574943993362</v>
      </c>
      <c r="BL85">
        <v>1.5474851979842157</v>
      </c>
      <c r="BM85">
        <v>-9.009868561676555</v>
      </c>
      <c r="BN85">
        <v>20.33840918237189</v>
      </c>
      <c r="BO85">
        <v>14.75834268351754</v>
      </c>
      <c r="BP85">
        <v>-6.8651160825831141</v>
      </c>
      <c r="BQ85">
        <v>0.60255432318547264</v>
      </c>
    </row>
    <row r="86" spans="1:69" hidden="1" x14ac:dyDescent="0.2">
      <c r="A86" t="s">
        <v>233</v>
      </c>
      <c r="B86" t="s">
        <v>234</v>
      </c>
      <c r="C86" t="s">
        <v>71</v>
      </c>
      <c r="D86" t="s">
        <v>72</v>
      </c>
      <c r="F86">
        <v>3.3634395197920952</v>
      </c>
      <c r="G86">
        <v>3.3735133395398123</v>
      </c>
      <c r="H86">
        <v>1.6035240637717152</v>
      </c>
      <c r="I86">
        <v>3.2849628874203063</v>
      </c>
      <c r="J86">
        <v>5.6067943692038824</v>
      </c>
      <c r="K86">
        <v>4.9815364876000672</v>
      </c>
      <c r="L86">
        <v>2.7794616257416465</v>
      </c>
      <c r="M86">
        <v>3.9312996194328775</v>
      </c>
      <c r="N86">
        <v>6.0220376476402606</v>
      </c>
      <c r="O86">
        <v>9.2485509064927101</v>
      </c>
      <c r="P86">
        <v>7.9856244684988695</v>
      </c>
      <c r="Q86">
        <v>7.1882518096280563</v>
      </c>
      <c r="R86">
        <v>8.4148785822604708</v>
      </c>
      <c r="S86">
        <v>15.05921263878767</v>
      </c>
      <c r="T86">
        <v>25.770727966560173</v>
      </c>
      <c r="U86">
        <v>15.113567304341032</v>
      </c>
      <c r="V86">
        <v>13.710494180956374</v>
      </c>
      <c r="W86">
        <v>11.457546957394385</v>
      </c>
      <c r="X86">
        <v>14.066541259503126</v>
      </c>
      <c r="Y86">
        <v>19.70379464011134</v>
      </c>
      <c r="Z86">
        <v>11.569262881932545</v>
      </c>
      <c r="AA86">
        <v>7.418774953857536</v>
      </c>
      <c r="AB86">
        <v>5.1228095224777519</v>
      </c>
      <c r="AC86">
        <v>5.0300474851759276</v>
      </c>
      <c r="AD86">
        <v>5.5116978743854617</v>
      </c>
      <c r="AE86">
        <v>4.3353559991069517</v>
      </c>
      <c r="AF86">
        <v>5.4405490598282711</v>
      </c>
      <c r="AG86">
        <v>6.1331733552191849</v>
      </c>
      <c r="AH86">
        <v>7.9358621409199657</v>
      </c>
      <c r="AI86">
        <v>7.8862181010614449</v>
      </c>
      <c r="AJ86">
        <v>6.4190864891577917</v>
      </c>
      <c r="AK86">
        <v>3.3209792387643091</v>
      </c>
      <c r="AL86">
        <v>2.7330443152252712</v>
      </c>
      <c r="AM86">
        <v>1.3936235674555633</v>
      </c>
      <c r="AN86">
        <v>11.48900317776571</v>
      </c>
      <c r="AO86">
        <v>4.1373056181684547</v>
      </c>
      <c r="AP86">
        <v>-0.14683123075668902</v>
      </c>
      <c r="AQ86">
        <v>1.2836573724343481</v>
      </c>
      <c r="AR86">
        <v>1.3808631166026117</v>
      </c>
      <c r="AS86">
        <v>1.121682763230055</v>
      </c>
      <c r="AT86">
        <v>1.5112471906517015</v>
      </c>
      <c r="AU86">
        <v>2.1190512693597015</v>
      </c>
      <c r="AV86">
        <v>2.387044666216994</v>
      </c>
      <c r="AW86">
        <v>2.5886387726704783</v>
      </c>
      <c r="AX86">
        <v>2.941521971822354</v>
      </c>
      <c r="AY86">
        <v>2.7924371184579115</v>
      </c>
      <c r="AZ86">
        <v>2.2479831527774081</v>
      </c>
      <c r="BA86">
        <v>3.4271950074511466</v>
      </c>
      <c r="BB86">
        <v>1.897090306256473</v>
      </c>
      <c r="BC86">
        <v>1.5890807297128049</v>
      </c>
      <c r="BD86">
        <v>2.1959938827608596</v>
      </c>
      <c r="BE86">
        <v>1.5427431867317267</v>
      </c>
      <c r="BF86">
        <v>2.1094410194734508</v>
      </c>
      <c r="BG86">
        <v>1.3189025324184485</v>
      </c>
      <c r="BH86">
        <v>0.65840060702879555</v>
      </c>
      <c r="BI86">
        <v>1.9641513149166485</v>
      </c>
      <c r="BJ86">
        <v>1.8551170231733778</v>
      </c>
      <c r="BK86">
        <v>1.9206470931631117</v>
      </c>
      <c r="BL86">
        <v>2.1329513941951745</v>
      </c>
      <c r="BM86">
        <v>4.9698205084244336</v>
      </c>
      <c r="BN86">
        <v>6.6556651367505992E-2</v>
      </c>
      <c r="BO86">
        <v>5.4439047660062414</v>
      </c>
      <c r="BP86">
        <v>6.8885375866162661</v>
      </c>
      <c r="BQ86">
        <v>4.0117405747380559</v>
      </c>
    </row>
    <row r="87" spans="1:69" hidden="1" x14ac:dyDescent="0.2">
      <c r="A87" t="s">
        <v>235</v>
      </c>
      <c r="B87" t="s">
        <v>236</v>
      </c>
      <c r="C87" t="s">
        <v>71</v>
      </c>
      <c r="D87" t="s">
        <v>72</v>
      </c>
      <c r="F87">
        <v>0.69677552378428231</v>
      </c>
      <c r="G87">
        <v>5.2517918528090206</v>
      </c>
      <c r="H87">
        <v>-3.5987218011757278</v>
      </c>
      <c r="I87">
        <v>2.1330602798288965</v>
      </c>
      <c r="J87">
        <v>-0.6060650244538266</v>
      </c>
      <c r="K87">
        <v>-1.8217061676661643</v>
      </c>
      <c r="L87">
        <v>1.2780450526075384</v>
      </c>
      <c r="M87">
        <v>0.62585720113190746</v>
      </c>
      <c r="N87">
        <v>3.2005311796891078</v>
      </c>
      <c r="O87">
        <v>-0.17401645937873411</v>
      </c>
      <c r="P87">
        <v>3.1373398155788408</v>
      </c>
      <c r="Q87">
        <v>-1.3695175344953299</v>
      </c>
      <c r="R87">
        <v>0.38509058494757653</v>
      </c>
      <c r="S87">
        <v>0.87007881026892164</v>
      </c>
      <c r="T87">
        <v>0.69030955488524626</v>
      </c>
      <c r="U87">
        <v>0.5280426763692958</v>
      </c>
      <c r="V87">
        <v>1.3726346037998667</v>
      </c>
      <c r="W87">
        <v>0.50604218337073803</v>
      </c>
      <c r="X87">
        <v>2.8158555844244262</v>
      </c>
      <c r="Y87">
        <v>0.99897112097025342</v>
      </c>
      <c r="Z87">
        <v>3.6253141189335452</v>
      </c>
      <c r="AA87">
        <v>3.5055016020053813</v>
      </c>
      <c r="AB87">
        <v>-2.8172023785622855</v>
      </c>
      <c r="AC87">
        <v>1.2801512028764819</v>
      </c>
      <c r="AD87">
        <v>-4.532244495759997</v>
      </c>
      <c r="AE87">
        <v>6.1034662798768409</v>
      </c>
      <c r="AF87">
        <v>2.3337250130542486</v>
      </c>
      <c r="AG87">
        <v>-2.2311115623084845</v>
      </c>
      <c r="AH87">
        <v>5.4160048002935213</v>
      </c>
      <c r="AI87">
        <v>22.359034493370359</v>
      </c>
      <c r="AJ87">
        <v>61.752053205927297</v>
      </c>
      <c r="AK87">
        <v>1317.6926314032041</v>
      </c>
      <c r="AL87">
        <v>15444.420423053696</v>
      </c>
      <c r="AM87">
        <v>6041.4740470740899</v>
      </c>
      <c r="AN87">
        <v>162.73388551076027</v>
      </c>
      <c r="AO87">
        <v>43.030270500922711</v>
      </c>
      <c r="AP87">
        <v>6.5349751711741817</v>
      </c>
      <c r="AQ87">
        <v>6.9403213402784445</v>
      </c>
      <c r="AR87">
        <v>9.7288417594470644</v>
      </c>
      <c r="AS87">
        <v>4.6782108151043076</v>
      </c>
      <c r="AT87">
        <v>5.3743464015562239</v>
      </c>
      <c r="AU87">
        <v>5.919074670174723</v>
      </c>
      <c r="AV87">
        <v>3.4260102101025183</v>
      </c>
      <c r="AW87">
        <v>8.4336944783274959</v>
      </c>
      <c r="AX87">
        <v>7.9351029706329115</v>
      </c>
      <c r="AY87">
        <v>8.4473052603476333</v>
      </c>
      <c r="AZ87">
        <v>9.4675081032733317</v>
      </c>
      <c r="BA87">
        <v>9.5923273865412995</v>
      </c>
      <c r="BB87">
        <v>-2.1357682429933078</v>
      </c>
      <c r="BC87">
        <v>15.90582835915437</v>
      </c>
      <c r="BD87">
        <v>9.1717112829739591</v>
      </c>
      <c r="BE87">
        <v>0.29116647142262764</v>
      </c>
      <c r="BF87">
        <v>-0.65096501645530225</v>
      </c>
      <c r="BG87">
        <v>4.5899044837015595</v>
      </c>
      <c r="BH87">
        <v>5.3774216765189777</v>
      </c>
      <c r="BI87">
        <v>2.2748184298969676</v>
      </c>
      <c r="BJ87">
        <v>7.5467449983811434</v>
      </c>
      <c r="BK87">
        <v>3.4848162867912436</v>
      </c>
      <c r="BL87">
        <v>3.9956803455723389</v>
      </c>
      <c r="BM87">
        <v>6.8479333876990438</v>
      </c>
      <c r="BN87">
        <v>10.229587650372963</v>
      </c>
      <c r="BO87">
        <v>8.1354501438480611</v>
      </c>
      <c r="BP87">
        <v>2.9480995390766367</v>
      </c>
      <c r="BQ87">
        <v>3.8221306291420234</v>
      </c>
    </row>
    <row r="88" spans="1:69" hidden="1" x14ac:dyDescent="0.2">
      <c r="A88" t="s">
        <v>237</v>
      </c>
      <c r="B88" t="s">
        <v>238</v>
      </c>
      <c r="C88" t="s">
        <v>71</v>
      </c>
      <c r="D88" t="s">
        <v>72</v>
      </c>
      <c r="F88">
        <v>3.470849865222192</v>
      </c>
      <c r="G88">
        <v>1.9401498185630146</v>
      </c>
      <c r="H88">
        <v>6.7456490949458612</v>
      </c>
      <c r="I88">
        <v>9.9348162344640656</v>
      </c>
      <c r="J88">
        <v>17.006595272713128</v>
      </c>
      <c r="K88">
        <v>8.1525149785073694</v>
      </c>
      <c r="L88">
        <v>-3.8783566049723817</v>
      </c>
      <c r="M88">
        <v>12.616517238007873</v>
      </c>
      <c r="N88">
        <v>11.036816855639458</v>
      </c>
      <c r="O88">
        <v>2.889154491338175</v>
      </c>
      <c r="P88">
        <v>5.1820125741724752</v>
      </c>
      <c r="Q88">
        <v>15.47255936094254</v>
      </c>
      <c r="R88">
        <v>20.882492116456788</v>
      </c>
      <c r="S88">
        <v>24.568733744708894</v>
      </c>
      <c r="T88">
        <v>29.463523696505547</v>
      </c>
      <c r="U88">
        <v>28.048649731852748</v>
      </c>
      <c r="V88">
        <v>67.250782405732707</v>
      </c>
      <c r="W88">
        <v>73.306694580115305</v>
      </c>
      <c r="X88">
        <v>37.949478174950571</v>
      </c>
      <c r="Y88">
        <v>51.126135010279455</v>
      </c>
      <c r="Z88">
        <v>75.633565777732485</v>
      </c>
      <c r="AA88">
        <v>27.890579069112746</v>
      </c>
      <c r="AB88">
        <v>123.06121361640021</v>
      </c>
      <c r="AC88">
        <v>35.312424343661036</v>
      </c>
      <c r="AD88">
        <v>20.648414986850284</v>
      </c>
      <c r="AE88">
        <v>41.705795523684884</v>
      </c>
      <c r="AF88">
        <v>39.201496901410991</v>
      </c>
      <c r="AG88">
        <v>33.40285418795446</v>
      </c>
      <c r="AH88">
        <v>28.29431107717312</v>
      </c>
      <c r="AI88">
        <v>31.166586734618619</v>
      </c>
      <c r="AJ88">
        <v>20.041359240013975</v>
      </c>
      <c r="AK88">
        <v>11.150082868787024</v>
      </c>
      <c r="AL88">
        <v>31.757212369024899</v>
      </c>
      <c r="AM88">
        <v>30.128926968546438</v>
      </c>
      <c r="AN88">
        <v>43.045330577780391</v>
      </c>
      <c r="AO88">
        <v>39.83774280948353</v>
      </c>
      <c r="AP88">
        <v>19.458167588970255</v>
      </c>
      <c r="AQ88">
        <v>17.048465245133642</v>
      </c>
      <c r="AR88">
        <v>13.97116504791201</v>
      </c>
      <c r="AS88">
        <v>27.230113843563956</v>
      </c>
      <c r="AT88">
        <v>34.817944066330341</v>
      </c>
      <c r="AU88">
        <v>22.818584723063708</v>
      </c>
      <c r="AV88">
        <v>28.7044072059077</v>
      </c>
      <c r="AW88">
        <v>14.350151125041492</v>
      </c>
      <c r="AX88">
        <v>14.963718404162989</v>
      </c>
      <c r="AY88">
        <v>84.683471822587563</v>
      </c>
      <c r="AZ88">
        <v>16.104240587274774</v>
      </c>
      <c r="BA88">
        <v>19.410271086868349</v>
      </c>
      <c r="BB88">
        <v>15.66656862214964</v>
      </c>
      <c r="BC88">
        <v>16.595644732234675</v>
      </c>
      <c r="BD88">
        <v>13.914822175982081</v>
      </c>
      <c r="BE88">
        <v>15.205278739660486</v>
      </c>
      <c r="BF88">
        <v>54.012911758392562</v>
      </c>
      <c r="BG88">
        <v>23.939958759399872</v>
      </c>
      <c r="BH88">
        <v>13.25296668073625</v>
      </c>
      <c r="BI88">
        <v>15.748620307899145</v>
      </c>
      <c r="BJ88">
        <v>10.677308233913934</v>
      </c>
      <c r="BK88">
        <v>10.568482495262899</v>
      </c>
      <c r="BL88">
        <v>8.4810702969872125</v>
      </c>
      <c r="BM88">
        <v>9.3655749658373821</v>
      </c>
      <c r="BN88">
        <v>12.106101631177296</v>
      </c>
      <c r="BO88">
        <v>28.183872813714004</v>
      </c>
      <c r="BP88">
        <v>40.105798196558908</v>
      </c>
      <c r="BQ88">
        <v>25.367778866357924</v>
      </c>
    </row>
    <row r="89" spans="1:69" hidden="1" x14ac:dyDescent="0.2">
      <c r="A89" t="s">
        <v>239</v>
      </c>
      <c r="B89" t="s">
        <v>240</v>
      </c>
      <c r="C89" t="s">
        <v>71</v>
      </c>
      <c r="D89" t="s">
        <v>72</v>
      </c>
    </row>
    <row r="90" spans="1:69" hidden="1" x14ac:dyDescent="0.2">
      <c r="A90" t="s">
        <v>241</v>
      </c>
      <c r="B90" t="s">
        <v>242</v>
      </c>
      <c r="C90" t="s">
        <v>71</v>
      </c>
      <c r="D90" t="s">
        <v>72</v>
      </c>
      <c r="P90">
        <v>5.6223459439770807</v>
      </c>
      <c r="Q90">
        <v>5.5773840553355001</v>
      </c>
      <c r="R90">
        <v>9.9640667633352109</v>
      </c>
      <c r="S90">
        <v>4.1481138830390876</v>
      </c>
      <c r="T90">
        <v>4.8221835054783213</v>
      </c>
      <c r="U90">
        <v>6.199211933757212</v>
      </c>
      <c r="V90">
        <v>4.6139258426780145</v>
      </c>
      <c r="W90">
        <v>2.1603342590777146</v>
      </c>
      <c r="X90">
        <v>7.6347457514792723</v>
      </c>
      <c r="Y90">
        <v>6.2367817695591299</v>
      </c>
      <c r="Z90">
        <v>8.6376317872436772</v>
      </c>
      <c r="AA90">
        <v>29.665663115796434</v>
      </c>
      <c r="AB90">
        <v>29.319178168275215</v>
      </c>
      <c r="AC90">
        <v>25.246447543629273</v>
      </c>
      <c r="AD90">
        <v>19.000046726239844</v>
      </c>
      <c r="AE90">
        <v>69.661185354517357</v>
      </c>
      <c r="AF90">
        <v>27.259990113431968</v>
      </c>
      <c r="AG90">
        <v>21.653639130960769</v>
      </c>
      <c r="AH90">
        <v>22.315573420813735</v>
      </c>
      <c r="AI90">
        <v>17.279181168495356</v>
      </c>
      <c r="AJ90">
        <v>25.818670567129899</v>
      </c>
      <c r="AK90">
        <v>26.220213626085041</v>
      </c>
      <c r="AL90">
        <v>0.67375727738637181</v>
      </c>
      <c r="AM90">
        <v>1.4280016398634103</v>
      </c>
      <c r="AN90">
        <v>5.9513383005315887</v>
      </c>
      <c r="AO90">
        <v>1.5459682370531738</v>
      </c>
      <c r="AP90">
        <v>1.4341266663678169</v>
      </c>
      <c r="AQ90">
        <v>3.3246404448857447</v>
      </c>
      <c r="AR90">
        <v>4.2276753067020962</v>
      </c>
      <c r="AS90">
        <v>6.3001239583625193</v>
      </c>
      <c r="AT90">
        <v>1.7524263185358109</v>
      </c>
      <c r="AU90">
        <v>0.43277237665886048</v>
      </c>
      <c r="AV90">
        <v>15.910696557568443</v>
      </c>
      <c r="AW90">
        <v>16.52158332333677</v>
      </c>
      <c r="AX90">
        <v>27.390845372339484</v>
      </c>
      <c r="AY90">
        <v>37.584061466112729</v>
      </c>
      <c r="AZ90">
        <v>13.618870145335961</v>
      </c>
      <c r="BA90">
        <v>16.705127019103287</v>
      </c>
      <c r="BB90">
        <v>1.7710300866036874</v>
      </c>
      <c r="BC90">
        <v>16.102603374833365</v>
      </c>
      <c r="BD90">
        <v>8.9992906425175647</v>
      </c>
      <c r="BE90">
        <v>11.515961112342453</v>
      </c>
      <c r="BF90">
        <v>4.3293564609606676</v>
      </c>
      <c r="BG90">
        <v>2.6158977058996982</v>
      </c>
      <c r="BH90">
        <v>2.9722848994974953</v>
      </c>
      <c r="BI90">
        <v>5.6689516327896712</v>
      </c>
      <c r="BJ90">
        <v>10.356507212723358</v>
      </c>
      <c r="BK90">
        <v>7.059084420391315</v>
      </c>
      <c r="BL90">
        <v>9.4029076632813116</v>
      </c>
      <c r="BM90">
        <v>4.2499801673200324</v>
      </c>
      <c r="BN90">
        <v>11.986297862496571</v>
      </c>
      <c r="BO90">
        <v>2.8055829238949457</v>
      </c>
      <c r="BP90">
        <v>6.092505368576866</v>
      </c>
      <c r="BQ90">
        <v>7.3522431307299456</v>
      </c>
    </row>
    <row r="91" spans="1:69" hidden="1" x14ac:dyDescent="0.2">
      <c r="A91" t="s">
        <v>243</v>
      </c>
      <c r="B91" t="s">
        <v>244</v>
      </c>
      <c r="C91" t="s">
        <v>71</v>
      </c>
      <c r="D91" t="s">
        <v>72</v>
      </c>
      <c r="L91">
        <v>8.5497150094996783</v>
      </c>
      <c r="M91">
        <v>-8.6860151429929005</v>
      </c>
      <c r="N91">
        <v>7.1284709082879658</v>
      </c>
      <c r="O91">
        <v>9.0691366271236262</v>
      </c>
      <c r="P91">
        <v>5.1633583601703066</v>
      </c>
      <c r="Q91">
        <v>3.156778667016269</v>
      </c>
      <c r="R91">
        <v>-1.0455081949432383</v>
      </c>
      <c r="S91">
        <v>20.937225136220377</v>
      </c>
      <c r="T91">
        <v>13.048586075066311</v>
      </c>
      <c r="U91">
        <v>11.693191005241516</v>
      </c>
      <c r="V91">
        <v>22.595401781931486</v>
      </c>
      <c r="W91">
        <v>6.4603574073679226</v>
      </c>
      <c r="X91">
        <v>10.596943372023659</v>
      </c>
      <c r="Y91">
        <v>-0.17758465121306699</v>
      </c>
      <c r="Z91">
        <v>1.5635268734140624</v>
      </c>
      <c r="AA91">
        <v>14.487418403339021</v>
      </c>
      <c r="AB91">
        <v>2.6830920793926083</v>
      </c>
      <c r="AC91">
        <v>9.0016063506899116</v>
      </c>
      <c r="AD91">
        <v>39.419110439818041</v>
      </c>
      <c r="AE91">
        <v>40.516789098044455</v>
      </c>
      <c r="AF91">
        <v>18.498011898301272</v>
      </c>
      <c r="AG91">
        <v>9.7061494135055426</v>
      </c>
      <c r="AH91">
        <v>13.73657242070378</v>
      </c>
      <c r="AI91">
        <v>11.964533392046377</v>
      </c>
      <c r="AJ91">
        <v>134.0358723717475</v>
      </c>
      <c r="AK91">
        <v>1.9500308367719867</v>
      </c>
      <c r="AL91">
        <v>5.1423224843501174</v>
      </c>
      <c r="AM91">
        <v>3.7773965514576275</v>
      </c>
      <c r="AN91">
        <v>3.9632505001165015</v>
      </c>
      <c r="AO91">
        <v>8.3685695652824279</v>
      </c>
      <c r="AP91">
        <v>-5.9691194512561765</v>
      </c>
      <c r="AQ91">
        <v>5.4118212030400628</v>
      </c>
      <c r="AR91">
        <v>-2.4354943637058852</v>
      </c>
      <c r="AS91">
        <v>2.2169826127345971</v>
      </c>
      <c r="AT91">
        <v>1.8054376516337669</v>
      </c>
      <c r="AU91">
        <v>10.391344589809279</v>
      </c>
      <c r="AV91">
        <v>12.893941182153085</v>
      </c>
      <c r="AW91">
        <v>94.190114137615211</v>
      </c>
      <c r="AX91">
        <v>4.1138052825715903</v>
      </c>
      <c r="AY91">
        <v>1.3032039976521759</v>
      </c>
      <c r="AZ91">
        <v>4.4148249019326187</v>
      </c>
      <c r="BA91">
        <v>2.4758458680372684</v>
      </c>
      <c r="BB91">
        <v>4.5133053529964542</v>
      </c>
      <c r="BC91">
        <v>5.6443308609733549</v>
      </c>
      <c r="BD91">
        <v>4.572123503691472</v>
      </c>
      <c r="BE91">
        <v>3.8451602137207175</v>
      </c>
      <c r="BF91">
        <v>5.9331313805819121</v>
      </c>
      <c r="BG91">
        <v>5.2117231068278898</v>
      </c>
      <c r="BH91">
        <v>9.7203624267525583</v>
      </c>
      <c r="BI91">
        <v>7.820622748609793</v>
      </c>
      <c r="BJ91">
        <v>3.9217186200013288</v>
      </c>
      <c r="BK91">
        <v>6.9517640379425814</v>
      </c>
      <c r="BL91">
        <v>6.2522063994300652</v>
      </c>
      <c r="BM91">
        <v>2.1887589585654723</v>
      </c>
      <c r="BN91">
        <v>7.3821228563862036</v>
      </c>
      <c r="BO91">
        <v>8.8170757407974349</v>
      </c>
      <c r="BP91">
        <v>15.601904395495183</v>
      </c>
      <c r="BQ91">
        <v>8.3651187177680839</v>
      </c>
    </row>
    <row r="92" spans="1:69" hidden="1" x14ac:dyDescent="0.2">
      <c r="A92" t="s">
        <v>245</v>
      </c>
      <c r="B92" t="s">
        <v>246</v>
      </c>
      <c r="C92" t="s">
        <v>71</v>
      </c>
      <c r="D92" t="s">
        <v>72</v>
      </c>
      <c r="P92">
        <v>1.8072737009932922</v>
      </c>
      <c r="Q92">
        <v>4.9743954602363516</v>
      </c>
      <c r="R92">
        <v>10.433903445345337</v>
      </c>
      <c r="S92">
        <v>8.9244266559516774</v>
      </c>
      <c r="T92">
        <v>7.2030445386723727</v>
      </c>
      <c r="U92">
        <v>1.5136903256086782</v>
      </c>
      <c r="V92">
        <v>3.0658374894474036</v>
      </c>
      <c r="W92">
        <v>6.335879988035046</v>
      </c>
      <c r="X92">
        <v>4.2800140082919711</v>
      </c>
      <c r="Y92">
        <v>11.536835657341754</v>
      </c>
      <c r="Z92">
        <v>1.8170401691833433</v>
      </c>
      <c r="AA92">
        <v>16.542295431450071</v>
      </c>
      <c r="AB92">
        <v>23.307067257775941</v>
      </c>
      <c r="AC92">
        <v>59.401820881761239</v>
      </c>
      <c r="AD92">
        <v>32.313505058957503</v>
      </c>
      <c r="AE92">
        <v>112.89481538379488</v>
      </c>
      <c r="AF92">
        <v>94.263457190254542</v>
      </c>
      <c r="AG92">
        <v>79.544839032937574</v>
      </c>
      <c r="AH92">
        <v>99.253322328356745</v>
      </c>
      <c r="AI92">
        <v>30.246037690308242</v>
      </c>
      <c r="AJ92">
        <v>67.894367113591898</v>
      </c>
      <c r="AK92">
        <v>64.981189321362308</v>
      </c>
      <c r="AL92">
        <v>49.058885286327097</v>
      </c>
      <c r="AM92">
        <v>23.249480847914896</v>
      </c>
      <c r="AN92">
        <v>44.730038199402884</v>
      </c>
      <c r="AO92">
        <v>39.233713487828595</v>
      </c>
      <c r="AP92">
        <v>34.13819479862596</v>
      </c>
      <c r="AQ92">
        <v>10.34033960712604</v>
      </c>
      <c r="AR92">
        <v>-12.422290160009055</v>
      </c>
      <c r="AS92">
        <v>-22.932319379936573</v>
      </c>
      <c r="AT92">
        <v>3.7620374685263727</v>
      </c>
      <c r="AU92">
        <v>3.3743832248315897</v>
      </c>
      <c r="AV92">
        <v>-0.57031337644410485</v>
      </c>
      <c r="AW92">
        <v>-5.4807961195311918</v>
      </c>
      <c r="AX92">
        <v>3.1144126331737993</v>
      </c>
      <c r="AY92">
        <v>-4.243386129007817</v>
      </c>
      <c r="AZ92">
        <v>5.9902657962941817</v>
      </c>
      <c r="BA92">
        <v>12.762732696410325</v>
      </c>
      <c r="BB92">
        <v>-3.8252077901305199</v>
      </c>
      <c r="BC92">
        <v>5.2150155222932852</v>
      </c>
      <c r="BD92">
        <v>8.4529220037151447</v>
      </c>
      <c r="BE92">
        <v>-2.7221160490299212E-2</v>
      </c>
      <c r="BF92">
        <v>-0.93227524483782531</v>
      </c>
      <c r="BG92">
        <v>1.2975573716641975</v>
      </c>
      <c r="BH92">
        <v>14.519662898456502</v>
      </c>
      <c r="BI92">
        <v>2.7177453933923061</v>
      </c>
      <c r="BJ92">
        <v>10.528296464536041</v>
      </c>
      <c r="BK92">
        <v>-2.5315612459235552</v>
      </c>
      <c r="BL92">
        <v>2.1500468855274448</v>
      </c>
      <c r="BM92">
        <v>1.9334399324789047</v>
      </c>
      <c r="BN92">
        <v>2.1526377234887235</v>
      </c>
      <c r="BO92">
        <v>4.2879364738734012</v>
      </c>
      <c r="BP92">
        <v>5.1748513138565073</v>
      </c>
      <c r="BQ92">
        <v>-2.697638131092063</v>
      </c>
    </row>
    <row r="93" spans="1:69" hidden="1" x14ac:dyDescent="0.2">
      <c r="A93" t="s">
        <v>247</v>
      </c>
      <c r="B93" t="s">
        <v>248</v>
      </c>
      <c r="C93" t="s">
        <v>71</v>
      </c>
      <c r="D93" t="s">
        <v>72</v>
      </c>
      <c r="Z93">
        <v>14.442828212220135</v>
      </c>
      <c r="AA93">
        <v>40.418006635433414</v>
      </c>
      <c r="AB93">
        <v>24.749773907464359</v>
      </c>
      <c r="AC93">
        <v>25.637171780878077</v>
      </c>
      <c r="AD93">
        <v>52.774786589761618</v>
      </c>
      <c r="AE93">
        <v>-2.9234097160413626</v>
      </c>
      <c r="AF93">
        <v>1.5181706537539981</v>
      </c>
      <c r="AG93">
        <v>3.9769845032664222</v>
      </c>
      <c r="AH93">
        <v>-4.795861341790399</v>
      </c>
      <c r="AI93">
        <v>10.352526844009574</v>
      </c>
      <c r="AJ93">
        <v>3.5521125410756582</v>
      </c>
      <c r="AK93">
        <v>-15.423700484410602</v>
      </c>
      <c r="AL93">
        <v>-2.6931154191177029</v>
      </c>
      <c r="AM93">
        <v>24.526346739067236</v>
      </c>
      <c r="AN93">
        <v>7.6808340922611649</v>
      </c>
      <c r="AO93">
        <v>0.82119636191735879</v>
      </c>
      <c r="AP93">
        <v>-13.147173669114622</v>
      </c>
      <c r="AQ93">
        <v>-31.565914979462377</v>
      </c>
      <c r="AR93">
        <v>39.15762567091042</v>
      </c>
      <c r="AS93">
        <v>64.735022297055764</v>
      </c>
      <c r="AT93">
        <v>-11.971527435005839</v>
      </c>
      <c r="AU93">
        <v>-1.5828902713967352</v>
      </c>
      <c r="AV93">
        <v>0.63562190156352472</v>
      </c>
      <c r="AW93">
        <v>16.922763507187355</v>
      </c>
      <c r="AX93">
        <v>59.329050669772158</v>
      </c>
      <c r="AY93">
        <v>12.976371200528789</v>
      </c>
      <c r="AZ93">
        <v>3.0376538593557001</v>
      </c>
      <c r="BA93">
        <v>19.840038932338615</v>
      </c>
      <c r="BB93">
        <v>-20.830230958408819</v>
      </c>
      <c r="BC93">
        <v>24.906534180240271</v>
      </c>
      <c r="BD93">
        <v>17.045106569846993</v>
      </c>
      <c r="BE93">
        <v>4.8547820439210199</v>
      </c>
      <c r="BF93">
        <v>-1.0726737570682161</v>
      </c>
      <c r="BG93">
        <v>-1.2738426468283421</v>
      </c>
      <c r="BH93">
        <v>-20.192750367898455</v>
      </c>
      <c r="BI93">
        <v>-6.2854221112698951</v>
      </c>
      <c r="BJ93">
        <v>12.742383159472539</v>
      </c>
      <c r="BK93">
        <v>9.5138342969225249</v>
      </c>
      <c r="BL93">
        <v>-3.1636898336393671</v>
      </c>
      <c r="BM93">
        <v>-10.168545745837264</v>
      </c>
      <c r="BN93">
        <v>17.938630722271327</v>
      </c>
      <c r="BO93">
        <v>22.100408726045487</v>
      </c>
      <c r="BP93">
        <v>-7.6475201984584515</v>
      </c>
      <c r="BQ93">
        <v>2.5026830705703134</v>
      </c>
    </row>
    <row r="94" spans="1:69" hidden="1" x14ac:dyDescent="0.2">
      <c r="A94" t="s">
        <v>249</v>
      </c>
      <c r="B94" t="s">
        <v>250</v>
      </c>
      <c r="C94" t="s">
        <v>71</v>
      </c>
      <c r="D94" t="s">
        <v>72</v>
      </c>
      <c r="F94">
        <v>1.0963790243661862</v>
      </c>
      <c r="G94">
        <v>4.6901408710035923</v>
      </c>
      <c r="H94">
        <v>1.1105832012779757</v>
      </c>
      <c r="I94">
        <v>3.4056475276671705</v>
      </c>
      <c r="J94">
        <v>4.0782005476054195</v>
      </c>
      <c r="K94">
        <v>4.9213991327734732</v>
      </c>
      <c r="L94">
        <v>2.1698376841793987</v>
      </c>
      <c r="M94">
        <v>1.4771690059819349</v>
      </c>
      <c r="N94">
        <v>3.1812743192246131</v>
      </c>
      <c r="O94">
        <v>3.7993190649533233</v>
      </c>
      <c r="P94">
        <v>2.9750227887856369</v>
      </c>
      <c r="Q94">
        <v>5.0466295058822652</v>
      </c>
      <c r="R94">
        <v>20.910344014602671</v>
      </c>
      <c r="S94">
        <v>22.78048923072464</v>
      </c>
      <c r="T94">
        <v>13.120001484757665</v>
      </c>
      <c r="U94">
        <v>16.434456712067515</v>
      </c>
      <c r="V94">
        <v>13.754413171641744</v>
      </c>
      <c r="W94">
        <v>13.788055534291232</v>
      </c>
      <c r="X94">
        <v>20.150700422643354</v>
      </c>
      <c r="Y94">
        <v>19.239453310048503</v>
      </c>
      <c r="Z94">
        <v>21.612040206912837</v>
      </c>
      <c r="AA94">
        <v>27.212747322019908</v>
      </c>
      <c r="AB94">
        <v>20.612199429559979</v>
      </c>
      <c r="AC94">
        <v>21.918459511278769</v>
      </c>
      <c r="AD94">
        <v>19.025950267679676</v>
      </c>
      <c r="AE94">
        <v>18.881998722539677</v>
      </c>
      <c r="AF94">
        <v>15.252682201737656</v>
      </c>
      <c r="AG94">
        <v>16.679869776186223</v>
      </c>
      <c r="AH94">
        <v>14.498973147711268</v>
      </c>
      <c r="AI94">
        <v>20.690596870598398</v>
      </c>
      <c r="AJ94">
        <v>19.787743759080698</v>
      </c>
      <c r="AK94">
        <v>14.798812474164478</v>
      </c>
      <c r="AL94">
        <v>14.428748550131658</v>
      </c>
      <c r="AM94">
        <v>11.181888620079604</v>
      </c>
      <c r="AN94">
        <v>9.7918364145355099</v>
      </c>
      <c r="AO94">
        <v>8.1968567625353046</v>
      </c>
      <c r="AP94">
        <v>6.6183439663582817</v>
      </c>
      <c r="AQ94">
        <v>5.2787090045395786</v>
      </c>
      <c r="AR94">
        <v>3.5094398279740204</v>
      </c>
      <c r="AS94">
        <v>1.6188005132663079</v>
      </c>
      <c r="AT94">
        <v>3.4706870164898902</v>
      </c>
      <c r="AU94">
        <v>2.9536564232031566</v>
      </c>
      <c r="AV94">
        <v>3.5585882975231868</v>
      </c>
      <c r="AW94">
        <v>2.9688107020412673</v>
      </c>
      <c r="AX94">
        <v>1.9004178892592165</v>
      </c>
      <c r="AY94">
        <v>3.3645360082569482</v>
      </c>
      <c r="AZ94">
        <v>3.3671037933859651</v>
      </c>
      <c r="BA94">
        <v>4.0628888489062689</v>
      </c>
      <c r="BB94">
        <v>2.368434305097324</v>
      </c>
      <c r="BC94">
        <v>1.1809206522849252</v>
      </c>
      <c r="BD94">
        <v>0.97665780286109793</v>
      </c>
      <c r="BE94">
        <v>-0.33456992578425115</v>
      </c>
      <c r="BF94">
        <v>-1.9603216018035994</v>
      </c>
      <c r="BG94">
        <v>-1.9234745577748242</v>
      </c>
      <c r="BH94">
        <v>-0.17475373264215932</v>
      </c>
      <c r="BI94">
        <v>-0.4899611443840115</v>
      </c>
      <c r="BJ94">
        <v>0.20361353158619977</v>
      </c>
      <c r="BK94">
        <v>-0.23480045131741178</v>
      </c>
      <c r="BL94">
        <v>0.24501578139526714</v>
      </c>
      <c r="BM94">
        <v>-0.36395970293206403</v>
      </c>
      <c r="BN94">
        <v>1.3927564467398241</v>
      </c>
      <c r="BO94">
        <v>6.495824310237424</v>
      </c>
      <c r="BP94">
        <v>5.874562081543047</v>
      </c>
      <c r="BQ94">
        <v>3.1525097960735593</v>
      </c>
    </row>
    <row r="95" spans="1:69" hidden="1" x14ac:dyDescent="0.2">
      <c r="A95" t="s">
        <v>251</v>
      </c>
      <c r="B95" t="s">
        <v>252</v>
      </c>
      <c r="C95" t="s">
        <v>71</v>
      </c>
      <c r="D95" t="s">
        <v>72</v>
      </c>
      <c r="W95">
        <v>17.273286314098684</v>
      </c>
      <c r="X95">
        <v>9.6215880320639258</v>
      </c>
      <c r="Y95">
        <v>9.049263196018245</v>
      </c>
      <c r="Z95">
        <v>2.7086945512115648</v>
      </c>
      <c r="AA95">
        <v>4.1636043931040376</v>
      </c>
      <c r="AB95">
        <v>1.3934847006405988</v>
      </c>
      <c r="AC95">
        <v>6.6124081391516256</v>
      </c>
      <c r="AD95">
        <v>8.7480851664510055</v>
      </c>
      <c r="AE95">
        <v>4.3350539063836635</v>
      </c>
      <c r="AF95">
        <v>5.0593504011799268</v>
      </c>
      <c r="AG95">
        <v>6.7614492350920585</v>
      </c>
      <c r="AH95">
        <v>8.9963907653245485</v>
      </c>
      <c r="AI95">
        <v>1.5932099665732835E-2</v>
      </c>
      <c r="AJ95">
        <v>6.6699096500267387</v>
      </c>
      <c r="AK95">
        <v>4.0115805314625845</v>
      </c>
      <c r="AL95">
        <v>1.8834248174887733</v>
      </c>
      <c r="AM95">
        <v>3.1907629183273372</v>
      </c>
      <c r="AN95">
        <v>3.0531506318531143</v>
      </c>
      <c r="AO95">
        <v>2.6730845108078967</v>
      </c>
      <c r="AP95">
        <v>1.7847072215938908</v>
      </c>
      <c r="AQ95">
        <v>1.7378730680715648</v>
      </c>
      <c r="AR95">
        <v>1.1214893320939723</v>
      </c>
      <c r="AS95">
        <v>2.8630297723958904</v>
      </c>
      <c r="AT95">
        <v>2.1441769430661282</v>
      </c>
      <c r="AU95">
        <v>0.37214666608689129</v>
      </c>
      <c r="AV95">
        <v>-7.7072097406016837E-2</v>
      </c>
      <c r="AW95">
        <v>2.0311480128200969</v>
      </c>
      <c r="AX95">
        <v>2.4897419211428655</v>
      </c>
      <c r="AY95">
        <v>4.6325878594249019</v>
      </c>
      <c r="AZ95">
        <v>2.3194437271098991</v>
      </c>
      <c r="BA95">
        <v>7.8477290264421526</v>
      </c>
      <c r="BB95">
        <v>-9.8997984490267754E-3</v>
      </c>
      <c r="BC95">
        <v>0.47979219539742246</v>
      </c>
      <c r="BD95">
        <v>0.22450739171647172</v>
      </c>
      <c r="BE95">
        <v>3.9261500086523711</v>
      </c>
      <c r="BF95">
        <v>2.92309825170382</v>
      </c>
      <c r="BG95">
        <v>0.77521292472853531</v>
      </c>
      <c r="BH95">
        <v>2.7583920627998566</v>
      </c>
      <c r="BI95">
        <v>2.6442452575043518</v>
      </c>
      <c r="BJ95">
        <v>1.5261735013887971</v>
      </c>
      <c r="BK95">
        <v>-0.70365938991497501</v>
      </c>
      <c r="BL95">
        <v>3.3275329475476383</v>
      </c>
      <c r="BM95">
        <v>-0.299985587376284</v>
      </c>
      <c r="BN95">
        <v>2.7903177729936743</v>
      </c>
      <c r="BO95">
        <v>2.2186629474874735</v>
      </c>
      <c r="BP95">
        <v>2.6843539108886887</v>
      </c>
      <c r="BQ95">
        <v>1.3515240246344291</v>
      </c>
    </row>
    <row r="96" spans="1:69" hidden="1" x14ac:dyDescent="0.2">
      <c r="A96" t="s">
        <v>253</v>
      </c>
      <c r="B96" t="s">
        <v>254</v>
      </c>
      <c r="C96" t="s">
        <v>71</v>
      </c>
      <c r="D96" t="s">
        <v>72</v>
      </c>
      <c r="P96">
        <v>11.447744110889133</v>
      </c>
      <c r="Q96">
        <v>5.6999934772432823</v>
      </c>
      <c r="R96">
        <v>7.6631926497778409</v>
      </c>
      <c r="S96">
        <v>15.553609546354892</v>
      </c>
      <c r="T96">
        <v>16.42585393775758</v>
      </c>
      <c r="U96">
        <v>13.193990722345262</v>
      </c>
      <c r="V96">
        <v>6.9821072350428608</v>
      </c>
      <c r="W96">
        <v>9.2772430294640031</v>
      </c>
      <c r="X96">
        <v>7.5024676632465344</v>
      </c>
      <c r="Y96">
        <v>11.55925069489227</v>
      </c>
      <c r="Z96">
        <v>14.926805674001443</v>
      </c>
      <c r="AA96">
        <v>13.016869544647719</v>
      </c>
      <c r="AB96">
        <v>9.7171303815324848</v>
      </c>
      <c r="AC96">
        <v>8.8708297166676431</v>
      </c>
      <c r="AD96">
        <v>7.4236630160970236</v>
      </c>
      <c r="AE96">
        <v>4.1295871392621279</v>
      </c>
      <c r="AF96">
        <v>4.6207281071019679</v>
      </c>
      <c r="AG96">
        <v>6.3502384443681308</v>
      </c>
      <c r="AH96">
        <v>5.3498589821856939</v>
      </c>
      <c r="AI96">
        <v>5.0925849664049707</v>
      </c>
      <c r="AJ96">
        <v>3.2252751068825347</v>
      </c>
      <c r="AK96">
        <v>1.5456781658694752</v>
      </c>
      <c r="AL96">
        <v>1.042016454068829</v>
      </c>
      <c r="AM96">
        <v>0.46837432035114546</v>
      </c>
      <c r="AN96">
        <v>2.0558722906532978</v>
      </c>
      <c r="AO96">
        <v>0.9801011924183598</v>
      </c>
      <c r="AP96">
        <v>0.49670367499415136</v>
      </c>
      <c r="AQ96">
        <v>0.97842673269006752</v>
      </c>
      <c r="AR96">
        <v>1.060456320238373</v>
      </c>
      <c r="AS96">
        <v>2.1100932146846674</v>
      </c>
      <c r="AT96">
        <v>3.4022568284081842</v>
      </c>
      <c r="AU96">
        <v>3.103083666671651</v>
      </c>
      <c r="AV96">
        <v>6.5329780666523192</v>
      </c>
      <c r="AW96">
        <v>-0.53844408487991302</v>
      </c>
      <c r="AX96">
        <v>-3.229177082599918</v>
      </c>
      <c r="AY96">
        <v>2.2383831453403786</v>
      </c>
      <c r="AZ96">
        <v>-4.7515342321489129E-2</v>
      </c>
      <c r="BA96">
        <v>-2.0133441801153396</v>
      </c>
      <c r="BB96">
        <v>5.5386354315257762</v>
      </c>
      <c r="BC96">
        <v>2.0276049193381738</v>
      </c>
      <c r="BD96">
        <v>2.8840456592971151</v>
      </c>
      <c r="BE96">
        <v>3.445331811921065</v>
      </c>
      <c r="BF96">
        <v>1.0673725314318148</v>
      </c>
      <c r="BG96">
        <v>0.99027355400474448</v>
      </c>
      <c r="BH96">
        <v>8.1443805720584805</v>
      </c>
      <c r="BI96">
        <v>3.5377824581282624</v>
      </c>
      <c r="BJ96">
        <v>3.2664996424492045</v>
      </c>
      <c r="BK96">
        <v>1.846720351745688</v>
      </c>
      <c r="BL96">
        <v>0.74486300019400176</v>
      </c>
      <c r="BM96">
        <v>0.85958849428362782</v>
      </c>
      <c r="BN96">
        <v>0.79834034926844311</v>
      </c>
      <c r="BO96">
        <v>5.6064966909130476</v>
      </c>
      <c r="BP96">
        <v>1.8637473940651574</v>
      </c>
    </row>
    <row r="97" spans="1:69" hidden="1" x14ac:dyDescent="0.2">
      <c r="A97" t="s">
        <v>255</v>
      </c>
      <c r="B97" t="s">
        <v>256</v>
      </c>
      <c r="C97" t="s">
        <v>71</v>
      </c>
      <c r="D97" t="s">
        <v>72</v>
      </c>
      <c r="F97">
        <v>-1.0803650546057781</v>
      </c>
      <c r="G97">
        <v>2.5855022083907073</v>
      </c>
      <c r="H97">
        <v>0.8053428574435344</v>
      </c>
      <c r="I97">
        <v>-1.6805749792822979</v>
      </c>
      <c r="J97">
        <v>-1.7970492842557633</v>
      </c>
      <c r="K97">
        <v>-1.0028592600346542</v>
      </c>
      <c r="L97">
        <v>0.3875972169761468</v>
      </c>
      <c r="M97">
        <v>1.8714284589125754</v>
      </c>
      <c r="N97">
        <v>1.6962405270832761</v>
      </c>
      <c r="O97">
        <v>5.0011814832771222</v>
      </c>
      <c r="P97">
        <v>-1.2691886873327149</v>
      </c>
      <c r="Q97">
        <v>-1.3634594096600381</v>
      </c>
      <c r="R97">
        <v>14.500774830702198</v>
      </c>
      <c r="S97">
        <v>15.679272042629194</v>
      </c>
      <c r="T97">
        <v>13.116091150826634</v>
      </c>
      <c r="U97">
        <v>11.495304648591627</v>
      </c>
      <c r="V97">
        <v>16.452864545105328</v>
      </c>
      <c r="W97">
        <v>5.4959594991662186</v>
      </c>
      <c r="X97">
        <v>8.5871898303197156</v>
      </c>
      <c r="Y97">
        <v>10.004885329754259</v>
      </c>
      <c r="Z97">
        <v>8.5481080464724357</v>
      </c>
      <c r="AA97">
        <v>4.9779546069944445</v>
      </c>
      <c r="AB97">
        <v>6.5609754969881067</v>
      </c>
      <c r="AC97">
        <v>4.1237003781143358</v>
      </c>
      <c r="AD97">
        <v>18.779735103811319</v>
      </c>
      <c r="AE97">
        <v>41.462592775249618</v>
      </c>
      <c r="AF97">
        <v>7.998534851750307</v>
      </c>
      <c r="AG97">
        <v>11.655297949067872</v>
      </c>
      <c r="AH97">
        <v>10.908896874544595</v>
      </c>
      <c r="AI97">
        <v>40.531259093510869</v>
      </c>
      <c r="AJ97">
        <v>32.975052055591107</v>
      </c>
      <c r="AK97">
        <v>8.8613848280940459</v>
      </c>
      <c r="AL97">
        <v>14.504351628253346</v>
      </c>
      <c r="AM97">
        <v>11.72227820328051</v>
      </c>
      <c r="AN97">
        <v>8.6678182389794216</v>
      </c>
      <c r="AO97">
        <v>8.9000045095332325</v>
      </c>
      <c r="AP97">
        <v>8.2573395168574137</v>
      </c>
      <c r="AQ97">
        <v>9.5024351849079807</v>
      </c>
      <c r="AR97">
        <v>5.0415579831109198</v>
      </c>
      <c r="AS97">
        <v>6.8301146682112659</v>
      </c>
      <c r="AT97">
        <v>-5.6101452835138303</v>
      </c>
      <c r="AU97">
        <v>6.4691750654455973</v>
      </c>
      <c r="AV97">
        <v>4.4712346716099916</v>
      </c>
      <c r="AW97">
        <v>6.0238588144158456</v>
      </c>
      <c r="AX97">
        <v>5.6684356262420437</v>
      </c>
      <c r="AY97">
        <v>4.981332970711307</v>
      </c>
      <c r="AZ97">
        <v>7.1153505433563851</v>
      </c>
      <c r="BA97">
        <v>9.4074918223814024</v>
      </c>
      <c r="BB97">
        <v>3.6001752730532814</v>
      </c>
      <c r="BC97">
        <v>5.1375729884662178</v>
      </c>
      <c r="BD97">
        <v>6.8946434031646788</v>
      </c>
      <c r="BE97">
        <v>3.3777508441259272</v>
      </c>
      <c r="BF97">
        <v>3.3584463459484653</v>
      </c>
      <c r="BG97">
        <v>2.8603113516850556</v>
      </c>
      <c r="BH97">
        <v>2.2316218002569741</v>
      </c>
      <c r="BI97">
        <v>2.7071908908610283</v>
      </c>
      <c r="BJ97">
        <v>1.7479145457782295</v>
      </c>
      <c r="BK97">
        <v>1.2716120540155345</v>
      </c>
      <c r="BL97">
        <v>3.5657828721186604</v>
      </c>
      <c r="BM97">
        <v>2.872322034372246</v>
      </c>
      <c r="BN97">
        <v>3.1305528089360877</v>
      </c>
      <c r="BO97">
        <v>6.3720509105757515</v>
      </c>
      <c r="BP97">
        <v>6.5400519536191268</v>
      </c>
      <c r="BQ97">
        <v>3.6587220577709587</v>
      </c>
    </row>
    <row r="98" spans="1:69" hidden="1" x14ac:dyDescent="0.2">
      <c r="A98" t="s">
        <v>257</v>
      </c>
      <c r="B98" t="s">
        <v>258</v>
      </c>
      <c r="C98" t="s">
        <v>71</v>
      </c>
      <c r="D98" t="s">
        <v>72</v>
      </c>
      <c r="AV98">
        <v>4.2395646991158884</v>
      </c>
      <c r="AW98">
        <v>1.7953407416695626</v>
      </c>
      <c r="AX98">
        <v>5.064408234435902</v>
      </c>
      <c r="AY98">
        <v>4.4068807321600048</v>
      </c>
      <c r="AZ98">
        <v>3.0129473345120914</v>
      </c>
      <c r="BA98">
        <v>3.8234851959926459</v>
      </c>
      <c r="BB98">
        <v>3.1969266841431931</v>
      </c>
      <c r="BC98">
        <v>0.23758467761585678</v>
      </c>
      <c r="BD98">
        <v>0.62907025079672962</v>
      </c>
      <c r="BE98">
        <v>3.430979133226316</v>
      </c>
      <c r="BF98">
        <v>0.84049308927905031</v>
      </c>
      <c r="BG98">
        <v>2.077822770441685</v>
      </c>
      <c r="BH98">
        <v>2.5224681650309151</v>
      </c>
      <c r="BI98">
        <v>1.5740757708390163</v>
      </c>
      <c r="BJ98">
        <v>0.99899146138145056</v>
      </c>
      <c r="BK98">
        <v>1.4723907930783326</v>
      </c>
      <c r="BL98">
        <v>2.4388149638994889</v>
      </c>
      <c r="BM98">
        <v>4.0353900892864374</v>
      </c>
      <c r="BN98">
        <v>3.2501757197232166</v>
      </c>
      <c r="BO98">
        <v>5.4651790502505406</v>
      </c>
    </row>
    <row r="99" spans="1:69" hidden="1" x14ac:dyDescent="0.2">
      <c r="A99" t="s">
        <v>259</v>
      </c>
      <c r="B99" t="s">
        <v>260</v>
      </c>
      <c r="C99" t="s">
        <v>71</v>
      </c>
      <c r="D99" t="s">
        <v>72</v>
      </c>
      <c r="F99">
        <v>4.2935036490300007</v>
      </c>
      <c r="G99">
        <v>3.7500606480457463</v>
      </c>
      <c r="H99">
        <v>2.7749834151698565</v>
      </c>
      <c r="I99">
        <v>-0.48536284137142616</v>
      </c>
      <c r="J99">
        <v>-1.7871917862589441</v>
      </c>
      <c r="K99">
        <v>1.9213490609462696</v>
      </c>
      <c r="L99">
        <v>4.8644061667896494</v>
      </c>
      <c r="M99">
        <v>6.9453768646090168</v>
      </c>
      <c r="N99">
        <v>1.4158336466819037</v>
      </c>
      <c r="O99">
        <v>3.036120487311365</v>
      </c>
      <c r="P99">
        <v>2.141618928623231</v>
      </c>
      <c r="Q99">
        <v>9.8856734121139311</v>
      </c>
      <c r="R99">
        <v>6.269434670430357</v>
      </c>
      <c r="S99">
        <v>37.472154366290624</v>
      </c>
      <c r="T99">
        <v>14.658148073586716</v>
      </c>
      <c r="U99">
        <v>-5.7765537102170725</v>
      </c>
      <c r="V99">
        <v>1.6795652102649399</v>
      </c>
      <c r="W99">
        <v>14.787785742790334</v>
      </c>
      <c r="X99">
        <v>6.5629400687834334</v>
      </c>
      <c r="Y99">
        <v>11.778793246548091</v>
      </c>
      <c r="Z99">
        <v>4.3407395466404495</v>
      </c>
      <c r="AA99">
        <v>4.3024045511483706</v>
      </c>
      <c r="AB99">
        <v>8.9196846104573808</v>
      </c>
      <c r="AC99">
        <v>19.281752195695319</v>
      </c>
      <c r="AD99">
        <v>14.510098898101759</v>
      </c>
      <c r="AE99">
        <v>12.293362690549287</v>
      </c>
      <c r="AF99">
        <v>58.71082111637341</v>
      </c>
      <c r="AG99">
        <v>23.646037717068637</v>
      </c>
      <c r="AH99">
        <v>162.54600971486178</v>
      </c>
      <c r="AI99">
        <v>56.444609564666905</v>
      </c>
      <c r="AJ99">
        <v>134.53764412728023</v>
      </c>
      <c r="AK99">
        <v>11.300743672812359</v>
      </c>
      <c r="AL99">
        <v>16.950888801422195</v>
      </c>
      <c r="AM99">
        <v>16.572397275826177</v>
      </c>
      <c r="AN99">
        <v>12.351708749098449</v>
      </c>
      <c r="AO99">
        <v>3.930579753464599</v>
      </c>
      <c r="AP99">
        <v>1.4432537062100153</v>
      </c>
      <c r="AQ99">
        <v>2.9700928152720678</v>
      </c>
      <c r="AR99">
        <v>11.210506950425156</v>
      </c>
      <c r="AS99">
        <v>6.5860437256788344</v>
      </c>
      <c r="AT99">
        <v>0.32197156408351191</v>
      </c>
      <c r="AU99">
        <v>2.6187515724004129</v>
      </c>
      <c r="AV99">
        <v>4.7185667294485683</v>
      </c>
      <c r="AW99">
        <v>6.7752378389141228</v>
      </c>
      <c r="AX99">
        <v>7.6324289193458839</v>
      </c>
      <c r="AY99">
        <v>174.85770474256776</v>
      </c>
      <c r="AZ99">
        <v>8.2110103854732728</v>
      </c>
      <c r="BA99">
        <v>9.5547485861899162</v>
      </c>
      <c r="BB99">
        <v>1.1531139569827928</v>
      </c>
      <c r="BC99">
        <v>3.9722524192748807</v>
      </c>
      <c r="BD99">
        <v>2.4093198298071883</v>
      </c>
      <c r="BE99">
        <v>4.7276150666505572</v>
      </c>
      <c r="BF99">
        <v>-0.53668052810571965</v>
      </c>
      <c r="BG99">
        <v>-2.1054038866703308</v>
      </c>
      <c r="BH99">
        <v>3.0043095168452254</v>
      </c>
      <c r="BI99">
        <v>0.8981759265169984</v>
      </c>
      <c r="BJ99">
        <v>2.1090078739521374</v>
      </c>
      <c r="BK99">
        <v>-2.8874879253939127</v>
      </c>
      <c r="BL99">
        <v>2.9611884630726735</v>
      </c>
      <c r="BM99">
        <v>-26.29609907454234</v>
      </c>
      <c r="BN99">
        <v>22.417697272359362</v>
      </c>
      <c r="BO99">
        <v>12.060448919606273</v>
      </c>
      <c r="BP99">
        <v>-14.086429921593322</v>
      </c>
      <c r="BQ99">
        <v>2.389065479842742</v>
      </c>
    </row>
    <row r="100" spans="1:69" hidden="1" x14ac:dyDescent="0.2">
      <c r="A100" t="s">
        <v>261</v>
      </c>
      <c r="B100" t="s">
        <v>262</v>
      </c>
      <c r="C100" t="s">
        <v>71</v>
      </c>
      <c r="D100" t="s">
        <v>72</v>
      </c>
      <c r="K100">
        <v>3.8521583899946421</v>
      </c>
      <c r="L100">
        <v>3.708497684460788</v>
      </c>
      <c r="M100">
        <v>4.3889141498259292</v>
      </c>
      <c r="N100">
        <v>4.5007301303193898</v>
      </c>
      <c r="O100">
        <v>5.5191266239062458</v>
      </c>
      <c r="P100">
        <v>6.8124601696351874</v>
      </c>
      <c r="Q100">
        <v>6.908856622390843</v>
      </c>
      <c r="R100">
        <v>9.9288066513810946</v>
      </c>
      <c r="S100">
        <v>15.945109270463803</v>
      </c>
      <c r="T100">
        <v>13.191014776303199</v>
      </c>
      <c r="U100">
        <v>9.3069335340385777</v>
      </c>
      <c r="V100">
        <v>8.8428823894360704</v>
      </c>
      <c r="W100">
        <v>7.0339306547084277</v>
      </c>
      <c r="X100">
        <v>10.2107264491423</v>
      </c>
      <c r="Y100">
        <v>11.778793246548091</v>
      </c>
      <c r="Z100">
        <v>10.638216905994312</v>
      </c>
      <c r="AA100">
        <v>8.9453214950366515</v>
      </c>
      <c r="AB100">
        <v>5.9769670241477684</v>
      </c>
      <c r="AC100">
        <v>5.4387176068222232</v>
      </c>
      <c r="AD100">
        <v>5.0266857593472167</v>
      </c>
      <c r="AE100">
        <v>4.2430124686188151</v>
      </c>
      <c r="AF100">
        <v>4.8311078090571726</v>
      </c>
      <c r="AG100">
        <v>4.4371860971246946</v>
      </c>
      <c r="AH100">
        <v>5.5217626248149685</v>
      </c>
      <c r="AI100">
        <v>5.9017211148860795</v>
      </c>
      <c r="AJ100">
        <v>3.9616433829729942</v>
      </c>
      <c r="AK100">
        <v>3.7290710403473923</v>
      </c>
      <c r="AL100">
        <v>3.5547047307799176</v>
      </c>
      <c r="AM100">
        <v>3.1782645721690272</v>
      </c>
      <c r="AN100">
        <v>3.4286175430738837</v>
      </c>
      <c r="AO100">
        <v>2.711442226721843</v>
      </c>
      <c r="AP100">
        <v>2.2368854925982902</v>
      </c>
      <c r="AQ100">
        <v>2.2180263813357612</v>
      </c>
      <c r="AR100">
        <v>2.4602781812612164</v>
      </c>
      <c r="AS100">
        <v>2.9491285453818108</v>
      </c>
      <c r="AT100">
        <v>2.6064831728436246</v>
      </c>
      <c r="AU100">
        <v>2.8203155344230311</v>
      </c>
      <c r="AV100">
        <v>2.842781417598168</v>
      </c>
      <c r="AW100">
        <v>3.0798762955759216</v>
      </c>
      <c r="AX100">
        <v>3.0036914954919567</v>
      </c>
      <c r="AY100">
        <v>2.9896881114596496</v>
      </c>
      <c r="AZ100">
        <v>3.3671037933859651</v>
      </c>
      <c r="BA100">
        <v>4.0296026567239664</v>
      </c>
      <c r="BB100">
        <v>1.5868500626829984</v>
      </c>
      <c r="BC100">
        <v>1.5047865386210972</v>
      </c>
      <c r="BD100">
        <v>1.9952845715049818</v>
      </c>
      <c r="BE100">
        <v>2.1715866583584713</v>
      </c>
      <c r="BF100">
        <v>1.3358568271226119</v>
      </c>
      <c r="BG100">
        <v>1.2599294991984777</v>
      </c>
      <c r="BH100">
        <v>1.3923396727684576</v>
      </c>
      <c r="BI100">
        <v>0.96889745103562319</v>
      </c>
      <c r="BJ100">
        <v>1.9849808411767853</v>
      </c>
      <c r="BK100">
        <v>1.865334231512648</v>
      </c>
      <c r="BL100">
        <v>1.8542407656893403</v>
      </c>
      <c r="BM100">
        <v>1.1895331828211511</v>
      </c>
      <c r="BN100">
        <v>2.8029293659014769</v>
      </c>
      <c r="BO100">
        <v>6.1555749650832752</v>
      </c>
      <c r="BP100">
        <v>4.3289850408150414</v>
      </c>
      <c r="BQ100">
        <v>3.0363176945492114</v>
      </c>
    </row>
    <row r="101" spans="1:69" hidden="1" x14ac:dyDescent="0.2">
      <c r="A101" t="s">
        <v>263</v>
      </c>
      <c r="B101" t="s">
        <v>264</v>
      </c>
      <c r="C101" t="s">
        <v>71</v>
      </c>
      <c r="D101" t="s">
        <v>72</v>
      </c>
      <c r="G101">
        <v>1.9551446178486742</v>
      </c>
      <c r="H101">
        <v>3.685153269982024</v>
      </c>
      <c r="I101">
        <v>4.9559884138575967</v>
      </c>
      <c r="J101">
        <v>2.3799729347024652</v>
      </c>
      <c r="K101">
        <v>0.55341204790946108</v>
      </c>
      <c r="L101">
        <v>6.6430969101640187</v>
      </c>
      <c r="M101">
        <v>3.3262035720050562</v>
      </c>
      <c r="N101">
        <v>5.5877390514575325</v>
      </c>
      <c r="O101">
        <v>8.8544614070116268</v>
      </c>
      <c r="P101">
        <v>7.6233812225127622</v>
      </c>
      <c r="Q101">
        <v>9.1508326883297002</v>
      </c>
      <c r="R101">
        <v>14.261863070395322</v>
      </c>
      <c r="S101">
        <v>11.612139415085494</v>
      </c>
      <c r="T101">
        <v>4.4585014860203813</v>
      </c>
      <c r="U101">
        <v>9.6371213325191434</v>
      </c>
      <c r="V101">
        <v>3.8584901892823495</v>
      </c>
      <c r="W101">
        <v>8.1224769081186423</v>
      </c>
      <c r="X101">
        <v>17.759953742159823</v>
      </c>
      <c r="Y101">
        <v>15.745157431060179</v>
      </c>
      <c r="Z101">
        <v>10.616140015035541</v>
      </c>
      <c r="AA101">
        <v>9.6849750886201349</v>
      </c>
      <c r="AB101">
        <v>4.6027253472059613</v>
      </c>
      <c r="AC101">
        <v>9.642058826915374</v>
      </c>
      <c r="AD101">
        <v>5.3612955309243517</v>
      </c>
      <c r="AE101">
        <v>3.7706921159884672</v>
      </c>
      <c r="AF101">
        <v>8.6113054854944409</v>
      </c>
      <c r="AG101">
        <v>8.801979708406904</v>
      </c>
      <c r="AH101">
        <v>12.559518050313272</v>
      </c>
      <c r="AI101">
        <v>7.5648706464090338</v>
      </c>
      <c r="AJ101">
        <v>9.140369071690202</v>
      </c>
      <c r="AK101">
        <v>9.8993318780213002</v>
      </c>
      <c r="AL101">
        <v>8.612978846718832</v>
      </c>
      <c r="AM101">
        <v>6.3213120586985667</v>
      </c>
      <c r="AN101">
        <v>4.1396309872281876</v>
      </c>
      <c r="AO101">
        <v>5.8836785061745047</v>
      </c>
      <c r="AP101">
        <v>5.7602326190619522</v>
      </c>
      <c r="AQ101">
        <v>1.2198954055250084</v>
      </c>
      <c r="AR101">
        <v>-4.095675870732407</v>
      </c>
      <c r="AS101">
        <v>-3.3941870523119633</v>
      </c>
      <c r="AT101">
        <v>-1.7740333333867113</v>
      </c>
      <c r="AU101">
        <v>-3.4018941741727531</v>
      </c>
      <c r="AV101">
        <v>-6.0077082020588364</v>
      </c>
      <c r="AW101">
        <v>-3.5908350409216183</v>
      </c>
      <c r="AX101">
        <v>-0.15008081182928379</v>
      </c>
      <c r="AY101">
        <v>-0.5348199400364706</v>
      </c>
      <c r="AZ101">
        <v>3.1374024899011772</v>
      </c>
      <c r="BA101">
        <v>1.2814780301761459</v>
      </c>
      <c r="BB101">
        <v>-0.37541259602625132</v>
      </c>
      <c r="BC101">
        <v>0.27066004732996873</v>
      </c>
      <c r="BD101">
        <v>3.8978982606170121</v>
      </c>
      <c r="BE101">
        <v>3.5448209431094568</v>
      </c>
      <c r="BF101">
        <v>1.812473458256278</v>
      </c>
      <c r="BG101">
        <v>2.850257146384223</v>
      </c>
      <c r="BH101">
        <v>3.6435654494233631</v>
      </c>
      <c r="BI101">
        <v>1.6382656645552345</v>
      </c>
      <c r="BJ101">
        <v>2.8805773727184771</v>
      </c>
      <c r="BK101">
        <v>3.6595465245829644</v>
      </c>
      <c r="BL101">
        <v>2.0449205463970372</v>
      </c>
      <c r="BM101">
        <v>0.63830994595979007</v>
      </c>
      <c r="BN101">
        <v>0.68362136235842286</v>
      </c>
      <c r="BO101">
        <v>1.6886142233556711</v>
      </c>
      <c r="BP101">
        <v>2.9086012548706179</v>
      </c>
      <c r="BQ101">
        <v>3.8433247326999975</v>
      </c>
    </row>
    <row r="102" spans="1:69" hidden="1" x14ac:dyDescent="0.2">
      <c r="A102" t="s">
        <v>265</v>
      </c>
      <c r="B102" t="s">
        <v>266</v>
      </c>
      <c r="C102" t="s">
        <v>71</v>
      </c>
      <c r="D102" t="s">
        <v>72</v>
      </c>
      <c r="F102">
        <v>4.1890550679487148</v>
      </c>
      <c r="G102">
        <v>2.9239748060424233</v>
      </c>
      <c r="H102">
        <v>2.133005407713398</v>
      </c>
      <c r="I102">
        <v>5.6845132410746686</v>
      </c>
      <c r="J102">
        <v>2.0771019254384555</v>
      </c>
      <c r="K102">
        <v>2.6056654715233236</v>
      </c>
      <c r="L102">
        <v>2.621119967104903</v>
      </c>
      <c r="M102">
        <v>1.4486812096906334</v>
      </c>
      <c r="N102">
        <v>2.6051683049515475</v>
      </c>
      <c r="O102">
        <v>4.4455752828105517</v>
      </c>
      <c r="P102">
        <v>-2.7775400886445283</v>
      </c>
      <c r="Q102">
        <v>3.8645238357892566</v>
      </c>
      <c r="R102">
        <v>5.3458050125980918</v>
      </c>
      <c r="S102">
        <v>14.778943434013442</v>
      </c>
      <c r="T102">
        <v>6.3848009229513565</v>
      </c>
      <c r="U102">
        <v>8.5321891266650738</v>
      </c>
      <c r="V102">
        <v>12.199479718806771</v>
      </c>
      <c r="W102">
        <v>75.073870650889745</v>
      </c>
      <c r="X102">
        <v>8.3548542238090135</v>
      </c>
      <c r="Y102">
        <v>11.292454753338532</v>
      </c>
      <c r="Z102">
        <v>3.1693282772217231</v>
      </c>
      <c r="AA102">
        <v>7.7400486128854169</v>
      </c>
      <c r="AB102">
        <v>3.9848181311427595</v>
      </c>
      <c r="AC102">
        <v>3.2639157094706235</v>
      </c>
      <c r="AD102">
        <v>1.6614835012668721</v>
      </c>
      <c r="AE102">
        <v>2.1286779057067378</v>
      </c>
      <c r="AF102">
        <v>2.2425026791251099</v>
      </c>
      <c r="AG102">
        <v>9.1775104576434074</v>
      </c>
      <c r="AH102">
        <v>11.503692533854078</v>
      </c>
      <c r="AI102">
        <v>25.008687485377806</v>
      </c>
      <c r="AJ102">
        <v>26.283671030096329</v>
      </c>
      <c r="AK102">
        <v>3.6741738803140152</v>
      </c>
      <c r="AL102">
        <v>10.908614348744379</v>
      </c>
      <c r="AM102">
        <v>21.338800675181659</v>
      </c>
      <c r="AN102">
        <v>23.713968683935335</v>
      </c>
      <c r="AO102">
        <v>18.193577844451411</v>
      </c>
      <c r="AP102">
        <v>16.811605138756263</v>
      </c>
      <c r="AQ102">
        <v>10.298994913143588</v>
      </c>
      <c r="AR102">
        <v>7.5757272828106608</v>
      </c>
      <c r="AS102">
        <v>7.9934467410707839</v>
      </c>
      <c r="AT102">
        <v>8.084349380149078</v>
      </c>
      <c r="AU102">
        <v>5.131939921545964</v>
      </c>
      <c r="AV102">
        <v>5.7597407665567459</v>
      </c>
      <c r="AW102">
        <v>6.4519838516075936</v>
      </c>
      <c r="AX102">
        <v>7.2791641583987712</v>
      </c>
      <c r="AY102">
        <v>5.3486634652148553</v>
      </c>
      <c r="AZ102">
        <v>6.6255071682860063</v>
      </c>
      <c r="BA102">
        <v>7.7905136392614054</v>
      </c>
      <c r="BB102">
        <v>7.6537324232293713</v>
      </c>
      <c r="BC102">
        <v>4.6760432949900945</v>
      </c>
      <c r="BD102">
        <v>7.8072052366428011</v>
      </c>
      <c r="BE102">
        <v>3.5797874261375568</v>
      </c>
      <c r="BF102">
        <v>1.374030518564922</v>
      </c>
      <c r="BG102">
        <v>6.849356724801865</v>
      </c>
      <c r="BH102">
        <v>6.9327703694636966</v>
      </c>
      <c r="BI102">
        <v>3.6780681442604219</v>
      </c>
      <c r="BJ102">
        <v>4.5128429763521041</v>
      </c>
      <c r="BK102">
        <v>1.9472169153104346</v>
      </c>
      <c r="BL102">
        <v>3.3587408846643854</v>
      </c>
      <c r="BM102">
        <v>3.4019822834870439</v>
      </c>
      <c r="BN102">
        <v>4.6057280888879291</v>
      </c>
      <c r="BO102">
        <v>9.3123950300273606</v>
      </c>
      <c r="BP102">
        <v>6.0475227989929152</v>
      </c>
      <c r="BQ102">
        <v>5.100944747185963</v>
      </c>
    </row>
    <row r="103" spans="1:69" hidden="1" x14ac:dyDescent="0.2">
      <c r="A103" t="s">
        <v>267</v>
      </c>
      <c r="B103" t="s">
        <v>268</v>
      </c>
      <c r="C103" t="s">
        <v>71</v>
      </c>
      <c r="D103" t="s">
        <v>72</v>
      </c>
      <c r="F103">
        <v>3.8299524665854534</v>
      </c>
      <c r="G103">
        <v>2.0509669316230301</v>
      </c>
      <c r="H103">
        <v>3.2355442198357949</v>
      </c>
      <c r="I103">
        <v>4.0325128385781781</v>
      </c>
      <c r="J103">
        <v>2.9743195776080356</v>
      </c>
      <c r="K103">
        <v>3.4884716162054019</v>
      </c>
      <c r="L103">
        <v>1.3329988673509661</v>
      </c>
      <c r="M103">
        <v>2.2801922574294693</v>
      </c>
      <c r="N103">
        <v>3.7916775518255221</v>
      </c>
      <c r="O103">
        <v>3.7850036465982839</v>
      </c>
      <c r="P103">
        <v>2.9705377104542379</v>
      </c>
      <c r="Q103">
        <v>4.9743954602363516</v>
      </c>
      <c r="R103">
        <v>9.9640667633352109</v>
      </c>
      <c r="S103">
        <v>14.778943434013442</v>
      </c>
      <c r="T103">
        <v>8.3048045476990637</v>
      </c>
      <c r="U103">
        <v>8.6757513355651525</v>
      </c>
      <c r="V103">
        <v>11.372462820627362</v>
      </c>
      <c r="W103">
        <v>8.562151174611472</v>
      </c>
      <c r="X103">
        <v>10.713130928198609</v>
      </c>
      <c r="Y103">
        <v>12.988319751640432</v>
      </c>
      <c r="Z103">
        <v>10.808507350147863</v>
      </c>
      <c r="AA103">
        <v>10.000018396173928</v>
      </c>
      <c r="AB103">
        <v>10.909693850500446</v>
      </c>
      <c r="AC103">
        <v>14.569888088881356</v>
      </c>
      <c r="AD103">
        <v>10.405488057722437</v>
      </c>
      <c r="AE103">
        <v>9.8428194975172687</v>
      </c>
      <c r="AF103">
        <v>12.523160848553559</v>
      </c>
      <c r="AG103">
        <v>9.5340399118388248</v>
      </c>
      <c r="AH103">
        <v>12.123876356349534</v>
      </c>
      <c r="AI103">
        <v>11.980141737546582</v>
      </c>
      <c r="AJ103">
        <v>16.334188323162259</v>
      </c>
      <c r="AK103">
        <v>11.150082868787024</v>
      </c>
      <c r="AL103">
        <v>11.410749560430006</v>
      </c>
      <c r="AM103">
        <v>25.616962611836762</v>
      </c>
      <c r="AN103">
        <v>13.049526396576887</v>
      </c>
      <c r="AO103">
        <v>10.449002896452008</v>
      </c>
      <c r="AP103">
        <v>5.6426205940956677</v>
      </c>
      <c r="AQ103">
        <v>7.4957213980223329</v>
      </c>
      <c r="AR103">
        <v>7.3824351149288105</v>
      </c>
      <c r="AS103">
        <v>8.0972754941041032</v>
      </c>
      <c r="AT103">
        <v>5.8266189586335457</v>
      </c>
      <c r="AU103">
        <v>3.5542132545605369</v>
      </c>
      <c r="AV103">
        <v>6.279473377511863</v>
      </c>
      <c r="AW103">
        <v>9.7342564798663176</v>
      </c>
      <c r="AX103">
        <v>8.5848844414468743</v>
      </c>
      <c r="AY103">
        <v>7.4613445396577731</v>
      </c>
      <c r="AZ103">
        <v>7.3212473176833583</v>
      </c>
      <c r="BA103">
        <v>10.244885347800306</v>
      </c>
      <c r="BB103">
        <v>3.4895784432779351</v>
      </c>
      <c r="BC103">
        <v>5.6376116381346151</v>
      </c>
      <c r="BD103">
        <v>8.4529220037151447</v>
      </c>
      <c r="BE103">
        <v>5.9399922119393551</v>
      </c>
      <c r="BF103">
        <v>3.5869058261315416</v>
      </c>
      <c r="BG103">
        <v>2.2189860393483087</v>
      </c>
      <c r="BH103">
        <v>3.6133247739240204</v>
      </c>
      <c r="BI103">
        <v>4.0808852538827551</v>
      </c>
      <c r="BJ103">
        <v>4.1238490593990491</v>
      </c>
      <c r="BK103">
        <v>3.0413622386799943</v>
      </c>
      <c r="BL103">
        <v>2.9611884630726735</v>
      </c>
      <c r="BM103">
        <v>3.4019822834870439</v>
      </c>
      <c r="BN103">
        <v>5.1643358859296171</v>
      </c>
      <c r="BO103">
        <v>8.3853261861697774</v>
      </c>
      <c r="BP103">
        <v>5.3013415072476988</v>
      </c>
      <c r="BQ103">
        <v>5.6903686571417467</v>
      </c>
    </row>
    <row r="104" spans="1:69" hidden="1" x14ac:dyDescent="0.2">
      <c r="A104" t="s">
        <v>269</v>
      </c>
      <c r="B104" t="s">
        <v>270</v>
      </c>
      <c r="C104" t="s">
        <v>71</v>
      </c>
      <c r="D104" t="s">
        <v>72</v>
      </c>
      <c r="AJ104">
        <v>99.295421784314584</v>
      </c>
      <c r="AK104">
        <v>594.84671283993112</v>
      </c>
      <c r="AL104">
        <v>1466.7895047941906</v>
      </c>
      <c r="AM104">
        <v>111.75875002041349</v>
      </c>
      <c r="AN104">
        <v>23.497830655803554</v>
      </c>
      <c r="AO104">
        <v>3.8344167423008031</v>
      </c>
      <c r="AP104">
        <v>6.890487526654681</v>
      </c>
      <c r="AQ104">
        <v>8.1794442481810421</v>
      </c>
      <c r="AR104">
        <v>3.5134182816405968</v>
      </c>
      <c r="AS104">
        <v>4.3508846120968769</v>
      </c>
      <c r="AT104">
        <v>4.2280855968025861</v>
      </c>
      <c r="AU104">
        <v>3.8407045511751079</v>
      </c>
      <c r="AV104">
        <v>4.3004951660384734</v>
      </c>
      <c r="AW104">
        <v>3.6241348355118106</v>
      </c>
      <c r="AX104">
        <v>3.114369525105559</v>
      </c>
      <c r="AY104">
        <v>3.880623726798575</v>
      </c>
      <c r="AZ104">
        <v>4.2862698076885124</v>
      </c>
      <c r="BA104">
        <v>5.5292297830119423</v>
      </c>
      <c r="BB104">
        <v>2.9849987456803717</v>
      </c>
      <c r="BC104">
        <v>0.92011314942975275</v>
      </c>
      <c r="BD104">
        <v>1.6693450504257328</v>
      </c>
      <c r="BE104">
        <v>1.4114560638194291</v>
      </c>
      <c r="BF104">
        <v>0.73288886582056989</v>
      </c>
      <c r="BG104">
        <v>0.12654452007258499</v>
      </c>
      <c r="BH104">
        <v>0.12437215819853975</v>
      </c>
      <c r="BI104">
        <v>1.5113069719262739E-2</v>
      </c>
      <c r="BJ104">
        <v>1.2316389762167717</v>
      </c>
      <c r="BK104">
        <v>2.0255975659175078</v>
      </c>
      <c r="BL104">
        <v>1.9883818328572289</v>
      </c>
      <c r="BM104">
        <v>0.80335980788453298</v>
      </c>
      <c r="BN104">
        <v>2.0811175295987709</v>
      </c>
      <c r="BO104">
        <v>8.0128066978067238</v>
      </c>
      <c r="BP104">
        <v>11.740330634331912</v>
      </c>
      <c r="BQ104">
        <v>5.500025609384835</v>
      </c>
    </row>
    <row r="105" spans="1:69" hidden="1" x14ac:dyDescent="0.2">
      <c r="A105" t="s">
        <v>271</v>
      </c>
      <c r="B105" t="s">
        <v>272</v>
      </c>
      <c r="C105" t="s">
        <v>71</v>
      </c>
      <c r="D105" t="s">
        <v>72</v>
      </c>
      <c r="F105">
        <v>2.2206246641594021</v>
      </c>
      <c r="G105">
        <v>-3.6074068784305808</v>
      </c>
      <c r="H105">
        <v>6.625054305808618</v>
      </c>
      <c r="I105">
        <v>12.156023952354317</v>
      </c>
      <c r="J105">
        <v>6.3008881042954386</v>
      </c>
      <c r="K105">
        <v>5.0483705808165951</v>
      </c>
      <c r="L105">
        <v>2.2121268108918173</v>
      </c>
      <c r="M105">
        <v>-3.3868712163959316</v>
      </c>
      <c r="N105">
        <v>2.5719770113391149</v>
      </c>
      <c r="O105">
        <v>-16.018326001475373</v>
      </c>
      <c r="P105">
        <v>2.8744096200628064</v>
      </c>
      <c r="Q105">
        <v>1.5436416136095659</v>
      </c>
      <c r="R105">
        <v>19.787585453567402</v>
      </c>
      <c r="S105">
        <v>14.504313995315371</v>
      </c>
      <c r="T105">
        <v>19.178368052353363</v>
      </c>
      <c r="U105">
        <v>18.960258978107063</v>
      </c>
      <c r="V105">
        <v>3.883896695123056</v>
      </c>
      <c r="W105">
        <v>-3.1415790892424837</v>
      </c>
      <c r="X105">
        <v>3.1250905579170478</v>
      </c>
      <c r="Y105">
        <v>19.263197414290786</v>
      </c>
      <c r="Z105">
        <v>10.047858744175258</v>
      </c>
      <c r="AA105">
        <v>3.3309582407136133</v>
      </c>
      <c r="AB105">
        <v>9.1430927992508515</v>
      </c>
      <c r="AC105">
        <v>11.526924201274127</v>
      </c>
      <c r="AD105">
        <v>9.973758953886275</v>
      </c>
      <c r="AE105">
        <v>15.934598432788619</v>
      </c>
      <c r="AF105">
        <v>-10.975946658569512</v>
      </c>
      <c r="AG105">
        <v>27.427621559444049</v>
      </c>
      <c r="AH105">
        <v>7.8207096486158747</v>
      </c>
      <c r="AI105">
        <v>11.995750083046786</v>
      </c>
      <c r="AJ105">
        <v>14.610258813735683</v>
      </c>
      <c r="AK105">
        <v>20.908165965844901</v>
      </c>
      <c r="AL105">
        <v>18.336642446918631</v>
      </c>
      <c r="AM105">
        <v>56.707891804932871</v>
      </c>
      <c r="AN105">
        <v>15.963377388461964</v>
      </c>
      <c r="AO105">
        <v>9.9765900410159674</v>
      </c>
      <c r="AP105">
        <v>12.726991500805767</v>
      </c>
      <c r="AQ105">
        <v>14.157417628516683</v>
      </c>
      <c r="AR105">
        <v>7.0314025367099333</v>
      </c>
      <c r="AS105">
        <v>91.380663793612797</v>
      </c>
      <c r="AT105">
        <v>13.248329870494914</v>
      </c>
      <c r="AU105">
        <v>10.220969864032867</v>
      </c>
      <c r="AV105">
        <v>17.98552142174124</v>
      </c>
      <c r="AW105">
        <v>19.302924694715358</v>
      </c>
      <c r="AX105">
        <v>10.072132103637003</v>
      </c>
      <c r="AY105">
        <v>13.51831575322538</v>
      </c>
      <c r="AZ105">
        <v>4.1122563216730867</v>
      </c>
      <c r="BA105">
        <v>12.674939171425819</v>
      </c>
      <c r="BB105">
        <v>11.601467237965466</v>
      </c>
      <c r="BC105">
        <v>7.3938234670413863</v>
      </c>
      <c r="BD105">
        <v>4.3207306132836436</v>
      </c>
      <c r="BE105">
        <v>8.2077937909117509</v>
      </c>
      <c r="BF105">
        <v>8.0771488419148341</v>
      </c>
      <c r="BG105">
        <v>2.2189860393483087</v>
      </c>
      <c r="BH105">
        <v>5.2059632982219881</v>
      </c>
      <c r="BI105">
        <v>15.703214529551545</v>
      </c>
      <c r="BJ105">
        <v>13.77987739759341</v>
      </c>
      <c r="BK105">
        <v>6.5357588755091029</v>
      </c>
      <c r="BL105">
        <v>19.80038790062126</v>
      </c>
      <c r="BM105">
        <v>18.685186128342693</v>
      </c>
      <c r="BN105">
        <v>18.960236405638568</v>
      </c>
      <c r="BO105">
        <v>30.201291856444328</v>
      </c>
      <c r="BP105">
        <v>31.511963144897493</v>
      </c>
      <c r="BQ105">
        <v>24.417223439718711</v>
      </c>
    </row>
    <row r="106" spans="1:69" hidden="1" x14ac:dyDescent="0.2">
      <c r="A106" t="s">
        <v>273</v>
      </c>
      <c r="B106" t="s">
        <v>274</v>
      </c>
      <c r="C106" t="s">
        <v>71</v>
      </c>
      <c r="D106" t="s">
        <v>72</v>
      </c>
      <c r="F106">
        <v>0.98085001753179313</v>
      </c>
      <c r="G106">
        <v>-0.58648754682147342</v>
      </c>
      <c r="H106">
        <v>-0.45035583322571426</v>
      </c>
      <c r="I106">
        <v>0.39905531320630416</v>
      </c>
      <c r="J106">
        <v>-30.187492798925092</v>
      </c>
      <c r="K106">
        <v>2.8801252006320794</v>
      </c>
      <c r="L106">
        <v>0.58812948751946692</v>
      </c>
      <c r="M106">
        <v>4.3583223881849023</v>
      </c>
      <c r="N106">
        <v>3.9522453908448227</v>
      </c>
      <c r="O106">
        <v>1.6871663144740126</v>
      </c>
      <c r="P106">
        <v>2.1749050530928287</v>
      </c>
      <c r="Q106">
        <v>2.1160039378525681</v>
      </c>
      <c r="R106">
        <v>2.6486739681027274</v>
      </c>
      <c r="S106">
        <v>-1.1818476208921993</v>
      </c>
      <c r="T106">
        <v>0.98456019107599957</v>
      </c>
      <c r="U106">
        <v>5.7660884324511841</v>
      </c>
      <c r="V106">
        <v>2.2755425739204185</v>
      </c>
      <c r="W106">
        <v>3.6634392853799511</v>
      </c>
      <c r="X106">
        <v>5.5124549041829312</v>
      </c>
      <c r="Y106">
        <v>5.6866484844846781</v>
      </c>
      <c r="Z106">
        <v>5.1517915500338063</v>
      </c>
      <c r="AA106">
        <v>5.7103501343877667</v>
      </c>
      <c r="AB106">
        <v>4.9609045812893697</v>
      </c>
      <c r="AC106">
        <v>6.3316243055852084</v>
      </c>
      <c r="AD106">
        <v>5.90976432501364</v>
      </c>
      <c r="AE106">
        <v>3.7422613886624276</v>
      </c>
      <c r="AF106">
        <v>8.2495742126292839</v>
      </c>
      <c r="AG106">
        <v>17.526076568542152</v>
      </c>
      <c r="AH106">
        <v>18.736545634087804</v>
      </c>
      <c r="AI106">
        <v>25.66604967366446</v>
      </c>
      <c r="AJ106">
        <v>35.715441236569717</v>
      </c>
      <c r="AK106">
        <v>21.509179653728054</v>
      </c>
      <c r="AL106">
        <v>21.278455098111834</v>
      </c>
      <c r="AM106">
        <v>19.491060523157543</v>
      </c>
      <c r="AN106">
        <v>26.732788962145108</v>
      </c>
      <c r="AO106">
        <v>21.965461753934903</v>
      </c>
      <c r="AP106">
        <v>20.261467448177186</v>
      </c>
      <c r="AQ106">
        <v>13.761094557270297</v>
      </c>
      <c r="AR106">
        <v>8.123446184319036</v>
      </c>
      <c r="AS106">
        <v>9.596501185462202</v>
      </c>
      <c r="AT106">
        <v>11.027592255790481</v>
      </c>
      <c r="AU106">
        <v>8.0464702765697211</v>
      </c>
      <c r="AV106">
        <v>5.4108196156704196</v>
      </c>
      <c r="AW106">
        <v>5.1427534761995304</v>
      </c>
      <c r="AX106">
        <v>2.622703697740846</v>
      </c>
      <c r="AY106">
        <v>3.6722971559416777</v>
      </c>
      <c r="AZ106">
        <v>5.4398463084487219</v>
      </c>
      <c r="BA106">
        <v>4.7999816147429328</v>
      </c>
      <c r="BB106">
        <v>4.2136738831102036</v>
      </c>
      <c r="BC106">
        <v>2.5312083317536889</v>
      </c>
      <c r="BD106">
        <v>1.9274596685733911</v>
      </c>
      <c r="BE106">
        <v>2.8771245355042794</v>
      </c>
      <c r="BF106">
        <v>2.8348095721203634</v>
      </c>
      <c r="BG106">
        <v>3.6901211040437261</v>
      </c>
      <c r="BH106">
        <v>2.8111578867369644</v>
      </c>
      <c r="BI106">
        <v>1.3225500772951193</v>
      </c>
      <c r="BJ106">
        <v>4.0372927373861529</v>
      </c>
      <c r="BK106">
        <v>4.845383951030712</v>
      </c>
      <c r="BL106">
        <v>4.7529365339562588</v>
      </c>
      <c r="BM106">
        <v>6.426613644130839</v>
      </c>
      <c r="BN106">
        <v>6.1669489229612111</v>
      </c>
      <c r="BO106">
        <v>14.182469567462846</v>
      </c>
      <c r="BP106">
        <v>15.210316723783521</v>
      </c>
      <c r="BQ106">
        <v>7.317652410260763</v>
      </c>
    </row>
    <row r="107" spans="1:69" hidden="1" x14ac:dyDescent="0.2">
      <c r="A107" t="s">
        <v>275</v>
      </c>
      <c r="B107" t="s">
        <v>276</v>
      </c>
      <c r="C107" t="s">
        <v>71</v>
      </c>
      <c r="D107" t="s">
        <v>72</v>
      </c>
      <c r="F107">
        <v>2.0137305616902097</v>
      </c>
      <c r="G107">
        <v>2.7991787618633381</v>
      </c>
      <c r="H107">
        <v>4.3104298429048384</v>
      </c>
      <c r="I107">
        <v>2.7510343454391091</v>
      </c>
      <c r="J107">
        <v>2.8739016001997797</v>
      </c>
      <c r="K107">
        <v>2.9767673812415723</v>
      </c>
      <c r="L107">
        <v>2.8320132932880142</v>
      </c>
      <c r="M107">
        <v>2.7348121606220559</v>
      </c>
      <c r="N107">
        <v>3.3333699378438553</v>
      </c>
      <c r="O107">
        <v>4.3529690492255355</v>
      </c>
      <c r="P107">
        <v>5.9444069252664775</v>
      </c>
      <c r="Q107">
        <v>7.1294897747526988</v>
      </c>
      <c r="R107">
        <v>15.495650935093437</v>
      </c>
      <c r="S107">
        <v>24.394726086788523</v>
      </c>
      <c r="T107">
        <v>9.8979071360115256</v>
      </c>
      <c r="U107">
        <v>10.840592723972847</v>
      </c>
      <c r="V107">
        <v>12.132508279267888</v>
      </c>
      <c r="W107">
        <v>9.0186625852158642</v>
      </c>
      <c r="X107">
        <v>15.732493395526106</v>
      </c>
      <c r="Y107">
        <v>22.11849022356482</v>
      </c>
      <c r="Z107">
        <v>10.442066699850855</v>
      </c>
      <c r="AA107">
        <v>8.0231835000661818</v>
      </c>
      <c r="AB107">
        <v>8.4947815405474714</v>
      </c>
      <c r="AC107">
        <v>8.1237257085475676</v>
      </c>
      <c r="AD107">
        <v>8.0997632353411859</v>
      </c>
      <c r="AE107">
        <v>7.4907494864649777</v>
      </c>
      <c r="AF107">
        <v>9.3278933059824425</v>
      </c>
      <c r="AG107">
        <v>9.0609634770019625</v>
      </c>
      <c r="AH107">
        <v>9.2924855430983939</v>
      </c>
      <c r="AI107">
        <v>15.445440463922083</v>
      </c>
      <c r="AJ107">
        <v>25.617113205687204</v>
      </c>
      <c r="AK107">
        <v>18.350780681307995</v>
      </c>
      <c r="AL107">
        <v>14.504351628253346</v>
      </c>
      <c r="AM107">
        <v>16.95231602776029</v>
      </c>
      <c r="AN107">
        <v>11.427281710448511</v>
      </c>
      <c r="AO107">
        <v>9.293873235374015</v>
      </c>
      <c r="AP107">
        <v>7.9332281652121921</v>
      </c>
      <c r="AQ107">
        <v>8.0101675245640109</v>
      </c>
      <c r="AR107">
        <v>6.3346397302426425</v>
      </c>
      <c r="AS107">
        <v>7.3808388510099974</v>
      </c>
      <c r="AT107">
        <v>5.3743464015562239</v>
      </c>
      <c r="AU107">
        <v>4.9211879198729918</v>
      </c>
      <c r="AV107">
        <v>5.6231925905445621</v>
      </c>
      <c r="AW107">
        <v>7.7652785346057982</v>
      </c>
      <c r="AX107">
        <v>6.6677249634657727</v>
      </c>
      <c r="AY107">
        <v>8.4473052603476333</v>
      </c>
      <c r="AZ107">
        <v>7.1153505433563851</v>
      </c>
      <c r="BA107">
        <v>9.5923273865412995</v>
      </c>
      <c r="BB107">
        <v>3.1615964807251657</v>
      </c>
      <c r="BC107">
        <v>7.0092836025974066</v>
      </c>
      <c r="BD107">
        <v>6.8375122295414599</v>
      </c>
      <c r="BE107">
        <v>4.7336329722770074</v>
      </c>
      <c r="BF107">
        <v>2.8397241263776465</v>
      </c>
      <c r="BG107">
        <v>2.8603113516850556</v>
      </c>
      <c r="BH107">
        <v>2.1694364984366956</v>
      </c>
      <c r="BI107">
        <v>2.6280430969665787</v>
      </c>
      <c r="BJ107">
        <v>4.0576401541145799</v>
      </c>
      <c r="BK107">
        <v>3.6121105964576401</v>
      </c>
      <c r="BL107">
        <v>2.376674151214047</v>
      </c>
      <c r="BM107">
        <v>2.3884809564225691</v>
      </c>
      <c r="BN107">
        <v>6.1928508863511311</v>
      </c>
      <c r="BO107">
        <v>9.5601111490667066</v>
      </c>
      <c r="BP107">
        <v>5.4733389505627912</v>
      </c>
      <c r="BQ107">
        <v>3.8470113877801992</v>
      </c>
    </row>
    <row r="108" spans="1:69" hidden="1" x14ac:dyDescent="0.2">
      <c r="A108" t="s">
        <v>277</v>
      </c>
      <c r="B108" t="s">
        <v>278</v>
      </c>
      <c r="C108" t="s">
        <v>71</v>
      </c>
      <c r="D108" t="s">
        <v>72</v>
      </c>
      <c r="F108">
        <v>2.5951440122814304</v>
      </c>
      <c r="G108">
        <v>2.0128730479386121</v>
      </c>
      <c r="H108">
        <v>3.0944167774832678</v>
      </c>
      <c r="I108">
        <v>2.865231591030728</v>
      </c>
      <c r="J108">
        <v>2.752828303075475</v>
      </c>
      <c r="K108">
        <v>3.5936408271235507</v>
      </c>
      <c r="L108">
        <v>2.2449637535619758</v>
      </c>
      <c r="M108">
        <v>2.415383585082381</v>
      </c>
      <c r="N108">
        <v>3.4541955241057991</v>
      </c>
      <c r="O108">
        <v>3.9605611438355766</v>
      </c>
      <c r="P108">
        <v>4.8012241622837024</v>
      </c>
      <c r="Q108">
        <v>6.3500621020958832</v>
      </c>
      <c r="R108">
        <v>12.561803063940545</v>
      </c>
      <c r="S108">
        <v>18.887844030937238</v>
      </c>
      <c r="T108">
        <v>10.191238755304276</v>
      </c>
      <c r="U108">
        <v>9.1721094767354856</v>
      </c>
      <c r="V108">
        <v>10.645054819018149</v>
      </c>
      <c r="W108">
        <v>8.4896822266375693</v>
      </c>
      <c r="X108">
        <v>12.471419717573461</v>
      </c>
      <c r="Y108">
        <v>13.912665228118357</v>
      </c>
      <c r="Z108">
        <v>9.5779751842200369</v>
      </c>
      <c r="AA108">
        <v>8.1130868418377844</v>
      </c>
      <c r="AB108">
        <v>8.5203077403102867</v>
      </c>
      <c r="AC108">
        <v>9.6870126530451373</v>
      </c>
      <c r="AD108">
        <v>7.8508513266081223</v>
      </c>
      <c r="AE108">
        <v>6.5545096897585893</v>
      </c>
      <c r="AF108">
        <v>8.8420204223294832</v>
      </c>
      <c r="AG108">
        <v>9.0609634770019625</v>
      </c>
      <c r="AH108">
        <v>8.5109284431457084</v>
      </c>
      <c r="AI108">
        <v>10.715885153227077</v>
      </c>
      <c r="AJ108">
        <v>14.610258813735683</v>
      </c>
      <c r="AK108">
        <v>12.900034483506843</v>
      </c>
      <c r="AL108">
        <v>11.297973858390549</v>
      </c>
      <c r="AM108">
        <v>16.95231602776029</v>
      </c>
      <c r="AN108">
        <v>11.076427188031019</v>
      </c>
      <c r="AO108">
        <v>8.9421939189698065</v>
      </c>
      <c r="AP108">
        <v>6.9968221869412091</v>
      </c>
      <c r="AQ108">
        <v>6.9635795165232679</v>
      </c>
      <c r="AR108">
        <v>6.7282027333422434</v>
      </c>
      <c r="AS108">
        <v>6.8301146682112659</v>
      </c>
      <c r="AT108">
        <v>5.8001111047808465</v>
      </c>
      <c r="AU108">
        <v>4.1925210403122861</v>
      </c>
      <c r="AV108">
        <v>5.6183217818610274</v>
      </c>
      <c r="AW108">
        <v>7.1890922696085653</v>
      </c>
      <c r="AX108">
        <v>6.9618636793542592</v>
      </c>
      <c r="AY108">
        <v>7.5567994224615305</v>
      </c>
      <c r="AZ108">
        <v>7.3014692190348285</v>
      </c>
      <c r="BA108">
        <v>9.5005860606972448</v>
      </c>
      <c r="BB108">
        <v>3.1394132209992591</v>
      </c>
      <c r="BC108">
        <v>6.2015428295480888</v>
      </c>
      <c r="BD108">
        <v>7.767063878706125</v>
      </c>
      <c r="BE108">
        <v>4.9908554623340891</v>
      </c>
      <c r="BF108">
        <v>3.4110017888174937</v>
      </c>
      <c r="BG108">
        <v>3.0238942373196522</v>
      </c>
      <c r="BH108">
        <v>2.9882972081713604</v>
      </c>
      <c r="BI108">
        <v>2.7124681421266672</v>
      </c>
      <c r="BJ108">
        <v>4.1023114093949999</v>
      </c>
      <c r="BK108">
        <v>3.6121105964576401</v>
      </c>
      <c r="BL108">
        <v>2.5672896656083211</v>
      </c>
      <c r="BM108">
        <v>2.82883193883481</v>
      </c>
      <c r="BN108">
        <v>5.8428798374009006</v>
      </c>
      <c r="BO108">
        <v>8.3237995004636076</v>
      </c>
      <c r="BP108">
        <v>5.831438405295259</v>
      </c>
      <c r="BQ108">
        <v>4.3677532937382892</v>
      </c>
    </row>
    <row r="109" spans="1:69" hidden="1" x14ac:dyDescent="0.2">
      <c r="A109" t="s">
        <v>279</v>
      </c>
      <c r="B109" t="s">
        <v>280</v>
      </c>
      <c r="C109" t="s">
        <v>71</v>
      </c>
      <c r="D109" t="s">
        <v>72</v>
      </c>
      <c r="F109">
        <v>2.9900634646976556</v>
      </c>
      <c r="G109">
        <v>1.4685523743987403</v>
      </c>
      <c r="H109">
        <v>2.7309412697313746</v>
      </c>
      <c r="I109">
        <v>3.023460298270308</v>
      </c>
      <c r="J109">
        <v>2.7282875043644239</v>
      </c>
      <c r="K109">
        <v>3.9400405975182551</v>
      </c>
      <c r="L109">
        <v>1.7480893762443515</v>
      </c>
      <c r="M109">
        <v>2.2801922574294693</v>
      </c>
      <c r="N109">
        <v>3.7268514629272929</v>
      </c>
      <c r="O109">
        <v>3.7094041172512036</v>
      </c>
      <c r="P109">
        <v>3.4401246860209085</v>
      </c>
      <c r="Q109">
        <v>5.553683675971044</v>
      </c>
      <c r="R109">
        <v>10.445534801036402</v>
      </c>
      <c r="S109">
        <v>15.906911607897683</v>
      </c>
      <c r="T109">
        <v>10.484570374597027</v>
      </c>
      <c r="U109">
        <v>8.4095380163589866</v>
      </c>
      <c r="V109">
        <v>10.408101181964483</v>
      </c>
      <c r="W109">
        <v>7.462358348102633</v>
      </c>
      <c r="X109">
        <v>10.655037150111134</v>
      </c>
      <c r="Y109">
        <v>12.517177775187548</v>
      </c>
      <c r="Z109">
        <v>8.7492530371203117</v>
      </c>
      <c r="AA109">
        <v>8.3013175895620037</v>
      </c>
      <c r="AB109">
        <v>8.7037202444184132</v>
      </c>
      <c r="AC109">
        <v>10.177204484349197</v>
      </c>
      <c r="AD109">
        <v>6.9277691556882672</v>
      </c>
      <c r="AE109">
        <v>5.9277851041516385</v>
      </c>
      <c r="AF109">
        <v>7.6890065862941981</v>
      </c>
      <c r="AG109">
        <v>9.013567810836264</v>
      </c>
      <c r="AH109">
        <v>7.898417247086023</v>
      </c>
      <c r="AI109">
        <v>7.99401392581224</v>
      </c>
      <c r="AJ109">
        <v>10.445935853389564</v>
      </c>
      <c r="AK109">
        <v>8.9232894978960644</v>
      </c>
      <c r="AL109">
        <v>9.9371554171951004</v>
      </c>
      <c r="AM109">
        <v>16.794406031540184</v>
      </c>
      <c r="AN109">
        <v>9.8540081063520546</v>
      </c>
      <c r="AO109">
        <v>8.6789966615005341</v>
      </c>
      <c r="AP109">
        <v>5.3177718805143996</v>
      </c>
      <c r="AQ109">
        <v>6.1842161639662407</v>
      </c>
      <c r="AR109">
        <v>7.1083018445278867</v>
      </c>
      <c r="AS109">
        <v>6.4688152268239989</v>
      </c>
      <c r="AT109">
        <v>6.1192298501139959</v>
      </c>
      <c r="AU109">
        <v>3.9213785706568842</v>
      </c>
      <c r="AV109">
        <v>5.5393374465150202</v>
      </c>
      <c r="AW109">
        <v>6.8856231304545759</v>
      </c>
      <c r="AX109">
        <v>7.12862226955437</v>
      </c>
      <c r="AY109">
        <v>6.7972855699495369</v>
      </c>
      <c r="AZ109">
        <v>7.3147301773897766</v>
      </c>
      <c r="BA109">
        <v>9.1598004374907447</v>
      </c>
      <c r="BB109">
        <v>3.1172299612733525</v>
      </c>
      <c r="BC109">
        <v>5.6376116381346151</v>
      </c>
      <c r="BD109">
        <v>8.3642501982880759</v>
      </c>
      <c r="BE109">
        <v>5.89315892847344</v>
      </c>
      <c r="BF109">
        <v>3.621296542024794</v>
      </c>
      <c r="BG109">
        <v>3.7902503859496832</v>
      </c>
      <c r="BH109">
        <v>3.7645964711371747</v>
      </c>
      <c r="BI109">
        <v>2.9768335687840803</v>
      </c>
      <c r="BJ109">
        <v>4.1023114093949999</v>
      </c>
      <c r="BK109">
        <v>3.6745871966897994</v>
      </c>
      <c r="BL109">
        <v>3.1941980481644876</v>
      </c>
      <c r="BM109">
        <v>3.137983210903748</v>
      </c>
      <c r="BN109">
        <v>5.566664028099062</v>
      </c>
      <c r="BO109">
        <v>7.9330732479302455</v>
      </c>
      <c r="BP109">
        <v>5.9616113911140189</v>
      </c>
      <c r="BQ109">
        <v>4.9827394381104639</v>
      </c>
    </row>
    <row r="110" spans="1:69" hidden="1" x14ac:dyDescent="0.2">
      <c r="A110" t="s">
        <v>281</v>
      </c>
      <c r="B110" t="s">
        <v>282</v>
      </c>
      <c r="C110" t="s">
        <v>71</v>
      </c>
      <c r="D110" t="s">
        <v>72</v>
      </c>
      <c r="F110">
        <v>3.0590937420456115</v>
      </c>
      <c r="G110">
        <v>1.3797446473815143</v>
      </c>
      <c r="H110">
        <v>0.21084921783066335</v>
      </c>
      <c r="I110">
        <v>3.023460298270308</v>
      </c>
      <c r="J110">
        <v>2.7282875043644239</v>
      </c>
      <c r="K110">
        <v>4.0971495686344213</v>
      </c>
      <c r="L110">
        <v>3.275902073269215</v>
      </c>
      <c r="M110">
        <v>2.4852464657094444</v>
      </c>
      <c r="N110">
        <v>2.9732549837860418</v>
      </c>
      <c r="O110">
        <v>4.6809090780232907</v>
      </c>
      <c r="P110">
        <v>4.2236621329909667</v>
      </c>
      <c r="Q110">
        <v>6.774575140905867</v>
      </c>
      <c r="R110">
        <v>14.676270880540727</v>
      </c>
      <c r="S110">
        <v>20.258397851069361</v>
      </c>
      <c r="T110">
        <v>11.835108625253099</v>
      </c>
      <c r="U110">
        <v>11.502459895844126</v>
      </c>
      <c r="V110">
        <v>10.506665893972752</v>
      </c>
      <c r="W110">
        <v>7.3491819899450803</v>
      </c>
      <c r="X110">
        <v>11.488763144686317</v>
      </c>
      <c r="Y110">
        <v>12.74093492816553</v>
      </c>
      <c r="Z110">
        <v>6.5990811519634747</v>
      </c>
      <c r="AA110">
        <v>7.436987913068279</v>
      </c>
      <c r="AB110">
        <v>6.8167553480744232</v>
      </c>
      <c r="AC110">
        <v>8.6108346358415844</v>
      </c>
      <c r="AD110">
        <v>4.4508684382002883</v>
      </c>
      <c r="AE110">
        <v>4.3350539063836635</v>
      </c>
      <c r="AF110">
        <v>6.9623851461484918</v>
      </c>
      <c r="AG110">
        <v>5.9336160755605221</v>
      </c>
      <c r="AH110">
        <v>3.7628912010745381</v>
      </c>
      <c r="AI110">
        <v>4.058960469671284</v>
      </c>
      <c r="AJ110">
        <v>5.9931316401637957</v>
      </c>
      <c r="AK110">
        <v>4.0115805314625845</v>
      </c>
      <c r="AL110">
        <v>6.154194290898829</v>
      </c>
      <c r="AM110">
        <v>7.2530884824223421</v>
      </c>
      <c r="AN110">
        <v>5.2817088096358162</v>
      </c>
      <c r="AO110">
        <v>7.6823650020016174</v>
      </c>
      <c r="AP110">
        <v>3.2900559949146952</v>
      </c>
      <c r="AQ110">
        <v>3.8767788331696096</v>
      </c>
      <c r="AR110">
        <v>5.8622861838065035</v>
      </c>
      <c r="AS110">
        <v>2.9988959117718679</v>
      </c>
      <c r="AT110">
        <v>6.0127924338173813</v>
      </c>
      <c r="AU110">
        <v>2.7744928495389729</v>
      </c>
      <c r="AV110">
        <v>5.2245173038942596</v>
      </c>
      <c r="AW110">
        <v>2.1940085921537218</v>
      </c>
      <c r="AX110">
        <v>5.1366011066344299</v>
      </c>
      <c r="AY110">
        <v>4.6325878594249019</v>
      </c>
      <c r="AZ110">
        <v>5.0142979592022812</v>
      </c>
      <c r="BA110">
        <v>7.2567638797885508</v>
      </c>
      <c r="BB110">
        <v>1.7651258761991073</v>
      </c>
      <c r="BC110">
        <v>4.2297849990792855</v>
      </c>
      <c r="BD110">
        <v>5.7093205000567906</v>
      </c>
      <c r="BE110">
        <v>3.9261500086523711</v>
      </c>
      <c r="BF110">
        <v>3.5869353889672624</v>
      </c>
      <c r="BG110">
        <v>2.543646131824957</v>
      </c>
      <c r="BH110">
        <v>2.8636651229894312</v>
      </c>
      <c r="BI110">
        <v>2.1617913784378402</v>
      </c>
      <c r="BJ110">
        <v>3.4583928297522419</v>
      </c>
      <c r="BK110">
        <v>3.0938295929665145</v>
      </c>
      <c r="BL110">
        <v>2.2788856898102523</v>
      </c>
      <c r="BM110">
        <v>0.70557203762172094</v>
      </c>
      <c r="BN110">
        <v>4.3307475585662019</v>
      </c>
      <c r="BO110">
        <v>7.9519803370290134</v>
      </c>
      <c r="BP110">
        <v>4.0995759131793506</v>
      </c>
      <c r="BQ110">
        <v>3.7119789060930231</v>
      </c>
    </row>
    <row r="111" spans="1:69" hidden="1" x14ac:dyDescent="0.2">
      <c r="A111" t="s">
        <v>283</v>
      </c>
      <c r="B111" t="s">
        <v>284</v>
      </c>
      <c r="C111" t="s">
        <v>71</v>
      </c>
      <c r="D111" t="s">
        <v>72</v>
      </c>
      <c r="F111">
        <v>13.936015511377093</v>
      </c>
      <c r="G111">
        <v>178.86674035451182</v>
      </c>
      <c r="H111">
        <v>145.84108626662498</v>
      </c>
      <c r="I111">
        <v>114.73115930957513</v>
      </c>
      <c r="J111">
        <v>228.81894076308112</v>
      </c>
      <c r="K111">
        <v>-98.703831342915663</v>
      </c>
      <c r="L111">
        <v>164.72184065932589</v>
      </c>
      <c r="M111">
        <v>122.97280648869227</v>
      </c>
      <c r="N111">
        <v>21.353201925783296</v>
      </c>
      <c r="O111">
        <v>14.253071876620922</v>
      </c>
      <c r="P111">
        <v>2.7247371051668949</v>
      </c>
      <c r="Q111">
        <v>16.119839033128855</v>
      </c>
      <c r="R111">
        <v>36.878479509404457</v>
      </c>
      <c r="S111">
        <v>47.310496629512699</v>
      </c>
      <c r="T111">
        <v>12.468058369469134</v>
      </c>
      <c r="U111">
        <v>14.456794601305958</v>
      </c>
      <c r="V111">
        <v>13.012362658420912</v>
      </c>
      <c r="W111">
        <v>12.064898556618559</v>
      </c>
      <c r="X111">
        <v>31.187188607616804</v>
      </c>
      <c r="Y111">
        <v>29.145499773745058</v>
      </c>
      <c r="Z111">
        <v>10.150714648163287</v>
      </c>
      <c r="AA111">
        <v>7.9505038995089024</v>
      </c>
      <c r="AB111">
        <v>18.61270035081057</v>
      </c>
      <c r="AC111">
        <v>10.421829684167633</v>
      </c>
      <c r="AD111">
        <v>6.1913636912281191</v>
      </c>
      <c r="AE111">
        <v>2.2537714840123328</v>
      </c>
      <c r="AF111">
        <v>16.003815713507819</v>
      </c>
      <c r="AG111">
        <v>7.6291093333530284</v>
      </c>
      <c r="AH111">
        <v>9.4850296359314967</v>
      </c>
      <c r="AI111">
        <v>9.093949697683712</v>
      </c>
      <c r="AJ111">
        <v>8.7670388858359871</v>
      </c>
      <c r="AK111">
        <v>7.2888562578412319</v>
      </c>
      <c r="AL111">
        <v>19.152578255304277</v>
      </c>
      <c r="AM111">
        <v>7.7765728026776912</v>
      </c>
      <c r="AN111">
        <v>9.8820451309312887</v>
      </c>
      <c r="AO111">
        <v>8.6765097553661974</v>
      </c>
      <c r="AP111">
        <v>12.57137629568949</v>
      </c>
      <c r="AQ111">
        <v>75.271168773471771</v>
      </c>
      <c r="AR111">
        <v>14.161195985779102</v>
      </c>
      <c r="AS111">
        <v>20.447456852145905</v>
      </c>
      <c r="AT111">
        <v>14.295715436283587</v>
      </c>
      <c r="AU111">
        <v>5.8960516931848304</v>
      </c>
      <c r="AV111">
        <v>5.4874291379014721</v>
      </c>
      <c r="AW111">
        <v>8.5507270318636586</v>
      </c>
      <c r="AX111">
        <v>14.331787084271213</v>
      </c>
      <c r="AY111">
        <v>14.087424416792629</v>
      </c>
      <c r="AZ111">
        <v>11.258578530897111</v>
      </c>
      <c r="BA111">
        <v>18.149751249467556</v>
      </c>
      <c r="BB111">
        <v>8.2747524317285297</v>
      </c>
      <c r="BC111">
        <v>15.264293657644942</v>
      </c>
      <c r="BD111">
        <v>7.4659430336751313</v>
      </c>
      <c r="BE111">
        <v>3.7538787532365347</v>
      </c>
      <c r="BF111">
        <v>4.9659902913167713</v>
      </c>
      <c r="BG111">
        <v>5.4431745493561152</v>
      </c>
      <c r="BH111">
        <v>3.9802426601396093</v>
      </c>
      <c r="BI111">
        <v>2.4389240868820679</v>
      </c>
      <c r="BJ111">
        <v>4.2926781219952517</v>
      </c>
      <c r="BK111">
        <v>3.8183235694333462</v>
      </c>
      <c r="BL111">
        <v>1.5984884998414373</v>
      </c>
      <c r="BM111">
        <v>-0.40165143521899438</v>
      </c>
      <c r="BN111">
        <v>6.0039732213620738</v>
      </c>
      <c r="BO111">
        <v>9.5689875634693351</v>
      </c>
      <c r="BP111">
        <v>1.5301319844336803</v>
      </c>
      <c r="BQ111">
        <v>0.8916539691441443</v>
      </c>
    </row>
    <row r="112" spans="1:69" hidden="1" x14ac:dyDescent="0.2">
      <c r="A112" t="s">
        <v>285</v>
      </c>
      <c r="B112" t="s">
        <v>286</v>
      </c>
      <c r="C112" t="s">
        <v>71</v>
      </c>
      <c r="D112" t="s">
        <v>72</v>
      </c>
      <c r="G112">
        <v>1.5638173186199609</v>
      </c>
      <c r="H112">
        <v>3.4404475126831997</v>
      </c>
      <c r="I112">
        <v>3.1691343276808723</v>
      </c>
      <c r="J112">
        <v>2.5001278350618605</v>
      </c>
      <c r="K112">
        <v>3.9400405975182551</v>
      </c>
      <c r="L112">
        <v>1.2663376694529376</v>
      </c>
      <c r="M112">
        <v>2.2801922574294693</v>
      </c>
      <c r="N112">
        <v>4.0526997027777227</v>
      </c>
      <c r="O112">
        <v>3.2783081167785468</v>
      </c>
      <c r="P112">
        <v>3.2748257335925999</v>
      </c>
      <c r="Q112">
        <v>5.3107685754243974</v>
      </c>
      <c r="R112">
        <v>10.093395408049609</v>
      </c>
      <c r="S112">
        <v>15.179897972986652</v>
      </c>
      <c r="T112">
        <v>9.5398055665439614</v>
      </c>
      <c r="U112">
        <v>8.2841838424377414</v>
      </c>
      <c r="V112">
        <v>8.8963503630011189</v>
      </c>
      <c r="W112">
        <v>8.562151174611472</v>
      </c>
      <c r="X112">
        <v>10.596943372023659</v>
      </c>
      <c r="Y112">
        <v>12.147985510867819</v>
      </c>
      <c r="Z112">
        <v>9.8946903119092156</v>
      </c>
      <c r="AA112">
        <v>9.1336500342790643</v>
      </c>
      <c r="AB112">
        <v>9.1430927992508515</v>
      </c>
      <c r="AC112">
        <v>11.266516783241315</v>
      </c>
      <c r="AD112">
        <v>9.1700096592408968</v>
      </c>
      <c r="AE112">
        <v>7.2602516623601332</v>
      </c>
      <c r="AF112">
        <v>11.494256945118536</v>
      </c>
      <c r="AG112">
        <v>9.9565447134045471</v>
      </c>
      <c r="AH112">
        <v>8.6773808111905737</v>
      </c>
      <c r="AI112">
        <v>11.911619580988898</v>
      </c>
      <c r="AJ112">
        <v>12.971760392070465</v>
      </c>
      <c r="AK112">
        <v>11.225413270799692</v>
      </c>
      <c r="AL112">
        <v>10.908614348744379</v>
      </c>
      <c r="AM112">
        <v>22.080150494604652</v>
      </c>
      <c r="AN112">
        <v>11.084210356764387</v>
      </c>
      <c r="AO112">
        <v>9.9765900410159674</v>
      </c>
      <c r="AP112">
        <v>6.9916813235484199</v>
      </c>
      <c r="AQ112">
        <v>7.9403160307083454</v>
      </c>
      <c r="AR112">
        <v>7.4421967726855769</v>
      </c>
      <c r="AS112">
        <v>6.7999999536558846</v>
      </c>
      <c r="AT112">
        <v>6.4759001214558012</v>
      </c>
      <c r="AU112">
        <v>4.096840931286593</v>
      </c>
      <c r="AV112">
        <v>5.7877787072264795</v>
      </c>
      <c r="AW112">
        <v>7.9558865839661124</v>
      </c>
      <c r="AX112">
        <v>7.824566746333744</v>
      </c>
      <c r="AY112">
        <v>7.5567994224615305</v>
      </c>
      <c r="AZ112">
        <v>7.4634877493761493</v>
      </c>
      <c r="BA112">
        <v>9.8419321534065247</v>
      </c>
      <c r="BB112">
        <v>3.7624411524254029</v>
      </c>
      <c r="BC112">
        <v>6.2015428295480888</v>
      </c>
      <c r="BD112">
        <v>8.4085861010016103</v>
      </c>
      <c r="BE112">
        <v>6.0605141944327556</v>
      </c>
      <c r="BF112">
        <v>3.9811829557528142</v>
      </c>
      <c r="BG112">
        <v>3.9102251927154725</v>
      </c>
      <c r="BH112">
        <v>3.9646663960822366</v>
      </c>
      <c r="BI112">
        <v>3.6780681442604219</v>
      </c>
      <c r="BJ112">
        <v>4.1581057589221899</v>
      </c>
      <c r="BK112">
        <v>3.8165809450680683</v>
      </c>
      <c r="BL112">
        <v>3.3587408846643854</v>
      </c>
      <c r="BM112">
        <v>3.4019822834870439</v>
      </c>
      <c r="BN112">
        <v>5.7790520115235751</v>
      </c>
      <c r="BO112">
        <v>7.9141661588314776</v>
      </c>
      <c r="BP112">
        <v>6.092505368576866</v>
      </c>
      <c r="BQ112">
        <v>5.0656794141861212</v>
      </c>
    </row>
    <row r="113" spans="1:69" hidden="1" x14ac:dyDescent="0.2">
      <c r="A113" t="s">
        <v>287</v>
      </c>
      <c r="B113" t="s">
        <v>288</v>
      </c>
      <c r="C113" t="s">
        <v>71</v>
      </c>
      <c r="D113" t="s">
        <v>72</v>
      </c>
      <c r="AD113">
        <v>5.3221160647952246</v>
      </c>
      <c r="AE113">
        <v>2.1715366926790267</v>
      </c>
      <c r="AF113">
        <v>5.3707758922505064</v>
      </c>
      <c r="AG113">
        <v>4.4371860971246946</v>
      </c>
      <c r="AH113">
        <v>7.4788727813521803</v>
      </c>
      <c r="AI113">
        <v>9.0493596759453965</v>
      </c>
      <c r="AJ113">
        <v>6.890452471668624</v>
      </c>
      <c r="AK113">
        <v>3.7424555016511931</v>
      </c>
      <c r="AL113">
        <v>2.1563668625874186</v>
      </c>
      <c r="AM113">
        <v>2.5413876033717315</v>
      </c>
      <c r="AN113">
        <v>2.9200320656625109</v>
      </c>
      <c r="AO113">
        <v>2.5697167525017761</v>
      </c>
      <c r="AP113">
        <v>2.6442286108928386</v>
      </c>
      <c r="AQ113">
        <v>2.387114770020446</v>
      </c>
      <c r="AR113">
        <v>2.293968394917286</v>
      </c>
      <c r="AS113">
        <v>3.3046764245144686</v>
      </c>
      <c r="AT113">
        <v>3.9417941035044208</v>
      </c>
      <c r="AU113">
        <v>2.4830853281865473</v>
      </c>
      <c r="AV113">
        <v>3.1668231489806686</v>
      </c>
      <c r="AW113">
        <v>5.4488670166635984</v>
      </c>
      <c r="AX113">
        <v>2.8966989142282529</v>
      </c>
      <c r="AY113">
        <v>3.5612616368807295</v>
      </c>
      <c r="AZ113">
        <v>11.623096080963194</v>
      </c>
      <c r="BA113">
        <v>37.732903703291697</v>
      </c>
      <c r="BB113">
        <v>6.9658830057659316</v>
      </c>
      <c r="BC113">
        <v>5.2067878427983345</v>
      </c>
      <c r="BD113">
        <v>4.8547595295485308</v>
      </c>
      <c r="BE113">
        <v>-3.6836849165644736</v>
      </c>
      <c r="BF113">
        <v>1.535663300641346</v>
      </c>
      <c r="BG113">
        <v>-0.52205638587473402</v>
      </c>
      <c r="BH113">
        <v>-0.62704243788074621</v>
      </c>
      <c r="BI113">
        <v>2.2367868390032157</v>
      </c>
      <c r="BJ113">
        <v>3.9999964342915604</v>
      </c>
      <c r="BK113">
        <v>1.299986404618906</v>
      </c>
      <c r="BL113">
        <v>1.8000043780209865</v>
      </c>
      <c r="BM113">
        <v>-0.20580289180767863</v>
      </c>
      <c r="BN113">
        <v>6.5149172488697502</v>
      </c>
      <c r="BO113">
        <v>9.0964749793131432</v>
      </c>
    </row>
    <row r="114" spans="1:69" hidden="1" x14ac:dyDescent="0.2">
      <c r="A114" t="s">
        <v>289</v>
      </c>
      <c r="B114" t="s">
        <v>290</v>
      </c>
      <c r="C114" t="s">
        <v>71</v>
      </c>
      <c r="D114" t="s">
        <v>72</v>
      </c>
      <c r="F114">
        <v>2.1454276470928733</v>
      </c>
      <c r="G114">
        <v>4.4056167293882851</v>
      </c>
      <c r="H114">
        <v>8.3536238870187844</v>
      </c>
      <c r="I114">
        <v>8.5516769651285074</v>
      </c>
      <c r="J114">
        <v>8.3003694076434869</v>
      </c>
      <c r="K114">
        <v>13.270706558561727</v>
      </c>
      <c r="L114">
        <v>8.616204710484638</v>
      </c>
      <c r="M114">
        <v>2.415383585082381</v>
      </c>
      <c r="N114">
        <v>3.3433643381499962</v>
      </c>
      <c r="O114">
        <v>1.5622434830510059</v>
      </c>
      <c r="P114">
        <v>5.3248410597442728</v>
      </c>
      <c r="Q114">
        <v>10.839602693347715</v>
      </c>
      <c r="R114">
        <v>17.829715646139135</v>
      </c>
      <c r="S114">
        <v>16.667515734233845</v>
      </c>
      <c r="T114">
        <v>-1.6486815511424879</v>
      </c>
      <c r="U114">
        <v>5.9818593410754488</v>
      </c>
      <c r="V114">
        <v>5.6372293377664278</v>
      </c>
      <c r="W114">
        <v>2.4602823200799975</v>
      </c>
      <c r="X114">
        <v>15.728043207161392</v>
      </c>
      <c r="Y114">
        <v>11.508320807462042</v>
      </c>
      <c r="Z114">
        <v>10.827581979485302</v>
      </c>
      <c r="AA114">
        <v>8.0958631006234612</v>
      </c>
      <c r="AB114">
        <v>8.5528596022411278</v>
      </c>
      <c r="AC114">
        <v>7.9232328482273857</v>
      </c>
      <c r="AD114">
        <v>7.1937854445294249</v>
      </c>
      <c r="AE114">
        <v>6.789400453561754</v>
      </c>
      <c r="AF114">
        <v>9.3278933059824425</v>
      </c>
      <c r="AG114">
        <v>8.2325153687047674</v>
      </c>
      <c r="AH114">
        <v>8.4368088690979732</v>
      </c>
      <c r="AI114">
        <v>10.668303850087483</v>
      </c>
      <c r="AJ114">
        <v>13.751818940881662</v>
      </c>
      <c r="AK114">
        <v>8.9651523617375801</v>
      </c>
      <c r="AL114">
        <v>9.8617828547540967</v>
      </c>
      <c r="AM114">
        <v>9.9800447689324585</v>
      </c>
      <c r="AN114">
        <v>9.0627022243215123</v>
      </c>
      <c r="AO114">
        <v>7.5750182894882272</v>
      </c>
      <c r="AP114">
        <v>6.4762712593954035</v>
      </c>
      <c r="AQ114">
        <v>8.0101675245640109</v>
      </c>
      <c r="AR114">
        <v>3.0683955229349635</v>
      </c>
      <c r="AS114">
        <v>3.6449701598962889</v>
      </c>
      <c r="AT114">
        <v>3.2156160172717563</v>
      </c>
      <c r="AU114">
        <v>3.7156837776141316</v>
      </c>
      <c r="AV114">
        <v>3.8677980853482978</v>
      </c>
      <c r="AW114">
        <v>5.7254132279322789</v>
      </c>
      <c r="AX114">
        <v>5.6219032632798047</v>
      </c>
      <c r="AY114">
        <v>8.4009382174037057</v>
      </c>
      <c r="AZ114">
        <v>6.9444182524999007</v>
      </c>
      <c r="BA114">
        <v>9.1939696263720947</v>
      </c>
      <c r="BB114">
        <v>7.0403654356447731</v>
      </c>
      <c r="BC114">
        <v>10.526030855166141</v>
      </c>
      <c r="BD114">
        <v>8.7335789061806537</v>
      </c>
      <c r="BE114">
        <v>7.9343874779296044</v>
      </c>
      <c r="BF114">
        <v>6.1865040008345318</v>
      </c>
      <c r="BG114">
        <v>3.33175691706154</v>
      </c>
      <c r="BH114">
        <v>2.2795881084983307</v>
      </c>
      <c r="BI114">
        <v>3.2379749508076685</v>
      </c>
      <c r="BJ114">
        <v>3.9692579335233802</v>
      </c>
      <c r="BK114">
        <v>3.8842402719666325</v>
      </c>
      <c r="BL114">
        <v>2.4055171610651342</v>
      </c>
      <c r="BM114">
        <v>4.8148579189340523</v>
      </c>
      <c r="BN114">
        <v>8.3549077148159796</v>
      </c>
      <c r="BO114">
        <v>5.8971418589113256</v>
      </c>
      <c r="BP114">
        <v>2.5919495451376804</v>
      </c>
      <c r="BQ114">
        <v>3.2018101001925601</v>
      </c>
    </row>
    <row r="115" spans="1:69" hidden="1" x14ac:dyDescent="0.2">
      <c r="A115" t="s">
        <v>291</v>
      </c>
      <c r="B115" t="s">
        <v>292</v>
      </c>
      <c r="C115" t="s">
        <v>71</v>
      </c>
      <c r="D115" t="s">
        <v>72</v>
      </c>
    </row>
    <row r="116" spans="1:69" hidden="1" x14ac:dyDescent="0.2">
      <c r="A116" t="s">
        <v>293</v>
      </c>
      <c r="B116" t="s">
        <v>294</v>
      </c>
      <c r="C116" t="s">
        <v>71</v>
      </c>
      <c r="D116" t="s">
        <v>72</v>
      </c>
      <c r="F116">
        <v>2.523922096176932</v>
      </c>
      <c r="G116">
        <v>4.8802436752864082</v>
      </c>
      <c r="H116">
        <v>2.6714349174526575</v>
      </c>
      <c r="I116">
        <v>9.6609783548570363</v>
      </c>
      <c r="J116">
        <v>4.4538916643403184</v>
      </c>
      <c r="K116">
        <v>4.4421888998450925</v>
      </c>
      <c r="L116">
        <v>3.2418902815614956</v>
      </c>
      <c r="M116">
        <v>4.236629235751991</v>
      </c>
      <c r="N116">
        <v>9.1113907539796912</v>
      </c>
      <c r="O116">
        <v>9.7287965489131381</v>
      </c>
      <c r="P116">
        <v>10.539194042171758</v>
      </c>
      <c r="Q116">
        <v>13.385117961410401</v>
      </c>
      <c r="R116">
        <v>15.27258144414661</v>
      </c>
      <c r="S116">
        <v>6.0876167323785211</v>
      </c>
      <c r="T116">
        <v>20.133344699713092</v>
      </c>
      <c r="U116">
        <v>21.022924704674665</v>
      </c>
      <c r="V116">
        <v>13.268599601661151</v>
      </c>
      <c r="W116">
        <v>10.526444782890138</v>
      </c>
      <c r="X116">
        <v>13.67606241541867</v>
      </c>
      <c r="Y116">
        <v>14.704794757771822</v>
      </c>
      <c r="Z116">
        <v>17.442550270369537</v>
      </c>
      <c r="AA116">
        <v>15.182158766543452</v>
      </c>
      <c r="AB116">
        <v>10.708874334928538</v>
      </c>
      <c r="AC116">
        <v>6.3792723199810837</v>
      </c>
      <c r="AD116">
        <v>5.1863287886034186</v>
      </c>
      <c r="AE116">
        <v>6.5496961272082643</v>
      </c>
      <c r="AF116">
        <v>2.1974104974450626</v>
      </c>
      <c r="AG116">
        <v>3.2463138886369052</v>
      </c>
      <c r="AH116">
        <v>5.5217626248149685</v>
      </c>
      <c r="AI116">
        <v>-0.72918376611262659</v>
      </c>
      <c r="AJ116">
        <v>1.8013974810773732</v>
      </c>
      <c r="AK116">
        <v>2.8122180085247379</v>
      </c>
      <c r="AL116">
        <v>5.175752581526865</v>
      </c>
      <c r="AM116">
        <v>1.6945319883062098</v>
      </c>
      <c r="AN116">
        <v>3.033995202292175</v>
      </c>
      <c r="AO116">
        <v>2.2922528589981823</v>
      </c>
      <c r="AP116">
        <v>3.929264377531652</v>
      </c>
      <c r="AQ116">
        <v>6.5527764084728091</v>
      </c>
      <c r="AR116">
        <v>4.3761949574690533</v>
      </c>
      <c r="AS116">
        <v>6.8749503192401704</v>
      </c>
      <c r="AT116">
        <v>6.8596858128969984</v>
      </c>
      <c r="AU116">
        <v>5.1869023415755748</v>
      </c>
      <c r="AV116">
        <v>3.9117308542629132</v>
      </c>
      <c r="AW116">
        <v>0.51533770738892315</v>
      </c>
      <c r="AX116">
        <v>3.0732102059499766</v>
      </c>
      <c r="AY116">
        <v>3.4198967028082166</v>
      </c>
      <c r="AZ116">
        <v>1.1984894935061874</v>
      </c>
      <c r="BA116">
        <v>-0.50452676567907417</v>
      </c>
      <c r="BB116">
        <v>-4.6245989958890021</v>
      </c>
      <c r="BC116">
        <v>-2.8583031091789906</v>
      </c>
      <c r="BD116">
        <v>1.8645375080224511</v>
      </c>
      <c r="BE116">
        <v>2.4351515087368796</v>
      </c>
      <c r="BF116">
        <v>1.3394134978158263</v>
      </c>
      <c r="BG116">
        <v>0.26092569735939719</v>
      </c>
      <c r="BH116">
        <v>8.9084506675439741</v>
      </c>
      <c r="BI116">
        <v>0.11937380213143456</v>
      </c>
      <c r="BJ116">
        <v>1.4999372718682764</v>
      </c>
      <c r="BK116">
        <v>0.92433687712667734</v>
      </c>
      <c r="BL116">
        <v>3.3916958517493896</v>
      </c>
      <c r="BM116">
        <v>-1.9243393617507536</v>
      </c>
      <c r="BN116">
        <v>1.0981028091395757</v>
      </c>
      <c r="BO116">
        <v>6.7628757512883055</v>
      </c>
      <c r="BP116">
        <v>3.6218715669759263</v>
      </c>
      <c r="BQ116">
        <v>3.3445846291338057</v>
      </c>
    </row>
    <row r="117" spans="1:69" hidden="1" x14ac:dyDescent="0.2">
      <c r="A117" t="s">
        <v>295</v>
      </c>
      <c r="B117" t="s">
        <v>296</v>
      </c>
      <c r="C117" t="s">
        <v>71</v>
      </c>
      <c r="D117" t="s">
        <v>72</v>
      </c>
      <c r="F117">
        <v>-4.4982328715667848</v>
      </c>
      <c r="G117">
        <v>-1.7483859848981211</v>
      </c>
      <c r="H117">
        <v>-1.9001024878430854</v>
      </c>
      <c r="I117">
        <v>0.62669325423556188</v>
      </c>
      <c r="J117">
        <v>-1.5726706862355257</v>
      </c>
      <c r="K117">
        <v>-1.7397892447982315</v>
      </c>
      <c r="L117">
        <v>1.8355703806392398E-2</v>
      </c>
      <c r="M117">
        <v>-0.23719076588120913</v>
      </c>
      <c r="N117">
        <v>-2.1896122884688509</v>
      </c>
      <c r="O117">
        <v>1.55878076289126</v>
      </c>
      <c r="P117">
        <v>10.029011010902437</v>
      </c>
      <c r="Q117">
        <v>9.0994456949787121</v>
      </c>
      <c r="R117">
        <v>33.620899892245717</v>
      </c>
      <c r="S117">
        <v>58.329955284917503</v>
      </c>
      <c r="T117">
        <v>13.313723899842017</v>
      </c>
      <c r="U117">
        <v>15.008237180956414</v>
      </c>
      <c r="V117">
        <v>21.887819140787144</v>
      </c>
      <c r="W117">
        <v>10.859747485957399</v>
      </c>
      <c r="X117">
        <v>31.730470887939646</v>
      </c>
      <c r="Y117">
        <v>35.231313493961494</v>
      </c>
      <c r="Z117">
        <v>26.273837095338877</v>
      </c>
      <c r="AA117">
        <v>7.3729440536527591</v>
      </c>
      <c r="AB117">
        <v>15.432989914315698</v>
      </c>
      <c r="AC117">
        <v>17.748647990170781</v>
      </c>
      <c r="AD117">
        <v>4.0544881480052197</v>
      </c>
      <c r="AE117">
        <v>12.235543396714775</v>
      </c>
      <c r="AF117">
        <v>21.533419014580062</v>
      </c>
      <c r="AG117">
        <v>20.080299327401036</v>
      </c>
      <c r="AH117">
        <v>17.16000788248013</v>
      </c>
      <c r="AI117">
        <v>22.797196956029225</v>
      </c>
      <c r="AJ117">
        <v>25.617113205687204</v>
      </c>
      <c r="AK117">
        <v>29.341532563694841</v>
      </c>
      <c r="AL117">
        <v>49.896814865619348</v>
      </c>
      <c r="AM117">
        <v>33.931486599128647</v>
      </c>
      <c r="AN117">
        <v>37.937494508019341</v>
      </c>
      <c r="AO117">
        <v>28.833645723895756</v>
      </c>
      <c r="AP117">
        <v>15.52808649572161</v>
      </c>
      <c r="AQ117">
        <v>9.3815171577855949</v>
      </c>
      <c r="AR117">
        <v>31.707847144876354</v>
      </c>
      <c r="AS117">
        <v>24.929260517305281</v>
      </c>
      <c r="AT117">
        <v>14.80541895269991</v>
      </c>
      <c r="AU117">
        <v>28.279694089381763</v>
      </c>
      <c r="AV117">
        <v>13.136394615760793</v>
      </c>
      <c r="AW117">
        <v>24.708242390054735</v>
      </c>
      <c r="AX117">
        <v>20.166191608468822</v>
      </c>
      <c r="AY117">
        <v>14.582593024432327</v>
      </c>
      <c r="AZ117">
        <v>22.939061358698055</v>
      </c>
      <c r="BA117">
        <v>19.421980864905478</v>
      </c>
      <c r="BB117">
        <v>4.5985169132210615</v>
      </c>
      <c r="BC117">
        <v>15.882625978133987</v>
      </c>
      <c r="BD117">
        <v>33.409533154123864</v>
      </c>
      <c r="BE117">
        <v>18.953884144828194</v>
      </c>
      <c r="BF117">
        <v>36.775631886208004</v>
      </c>
      <c r="BG117">
        <v>9.7587687325632686</v>
      </c>
      <c r="BH117">
        <v>0.19700167873683938</v>
      </c>
      <c r="BI117">
        <v>9.3997846133833605</v>
      </c>
      <c r="BJ117">
        <v>13.035331167157935</v>
      </c>
      <c r="BK117">
        <v>31.641184296508499</v>
      </c>
      <c r="BL117">
        <v>30.53486622726561</v>
      </c>
      <c r="BM117">
        <v>44.264983633742418</v>
      </c>
      <c r="BN117">
        <v>56.319654643966544</v>
      </c>
      <c r="BO117">
        <v>50.58524806250503</v>
      </c>
      <c r="BP117">
        <v>30.493140472656421</v>
      </c>
      <c r="BQ117">
        <v>34.244335918767263</v>
      </c>
    </row>
    <row r="118" spans="1:69" hidden="1" x14ac:dyDescent="0.2">
      <c r="A118" t="s">
        <v>297</v>
      </c>
      <c r="B118" t="s">
        <v>298</v>
      </c>
      <c r="C118" t="s">
        <v>71</v>
      </c>
      <c r="D118" t="s">
        <v>72</v>
      </c>
      <c r="F118">
        <v>1.3390917074509616</v>
      </c>
      <c r="G118">
        <v>2.0153745254522164</v>
      </c>
      <c r="H118">
        <v>-1.2005560089277623</v>
      </c>
      <c r="I118">
        <v>3.0262739143273762</v>
      </c>
      <c r="J118">
        <v>-1.2924068463564566</v>
      </c>
      <c r="K118">
        <v>3.2058649789575639</v>
      </c>
      <c r="L118">
        <v>10.637452818559055</v>
      </c>
      <c r="M118">
        <v>-5.0101843002194073</v>
      </c>
      <c r="N118">
        <v>0.57476964695948141</v>
      </c>
      <c r="O118">
        <v>4.3529690492255355</v>
      </c>
      <c r="P118">
        <v>10.650035005263689</v>
      </c>
      <c r="Q118">
        <v>-3.3820985938126142</v>
      </c>
      <c r="R118">
        <v>8.7541148180974062</v>
      </c>
      <c r="S118">
        <v>88.332553388710465</v>
      </c>
      <c r="T118">
        <v>3.8843918420913326</v>
      </c>
      <c r="U118">
        <v>12.585863820931806</v>
      </c>
      <c r="V118">
        <v>9.6504266429434011</v>
      </c>
      <c r="W118">
        <v>2.3269485846014675</v>
      </c>
      <c r="X118">
        <v>31.667009250986325</v>
      </c>
      <c r="Y118">
        <v>13.201751823578263</v>
      </c>
      <c r="Z118">
        <v>-27.522589516195353</v>
      </c>
      <c r="AA118">
        <v>8.3342203834891819</v>
      </c>
      <c r="AB118">
        <v>14.191694708697682</v>
      </c>
      <c r="AC118">
        <v>17.029350069768753</v>
      </c>
      <c r="AD118">
        <v>1.6890483922511663</v>
      </c>
      <c r="AE118">
        <v>-6.7315183601517674</v>
      </c>
      <c r="AF118">
        <v>9.8941593593243908</v>
      </c>
      <c r="AG118">
        <v>10.431250000000119</v>
      </c>
      <c r="AH118">
        <v>8.4015892745217258</v>
      </c>
      <c r="AI118">
        <v>73.645391038802046</v>
      </c>
      <c r="AJ118">
        <v>111.12641815198239</v>
      </c>
      <c r="AK118">
        <v>104.50076671141747</v>
      </c>
      <c r="AL118">
        <v>114.46767171036797</v>
      </c>
      <c r="AM118">
        <v>396.43801739682436</v>
      </c>
      <c r="AN118">
        <v>295.36766714356395</v>
      </c>
      <c r="AO118">
        <v>-12.544137451352668</v>
      </c>
      <c r="AP118">
        <v>91.498797837913656</v>
      </c>
      <c r="AQ118">
        <v>-15.950433935868148</v>
      </c>
      <c r="AR118">
        <v>71.151095297900127</v>
      </c>
      <c r="AS118">
        <v>24.746368864627271</v>
      </c>
      <c r="AT118">
        <v>-19.150805751229456</v>
      </c>
      <c r="AU118">
        <v>8.1678688865143272</v>
      </c>
      <c r="AV118">
        <v>13.856116835406709</v>
      </c>
      <c r="AW118">
        <v>17.309340887653391</v>
      </c>
      <c r="AX118">
        <v>35.853389283356137</v>
      </c>
      <c r="AY118">
        <v>23.054060591315945</v>
      </c>
      <c r="AZ118">
        <v>14.43904363146811</v>
      </c>
      <c r="BA118">
        <v>30.175408670569993</v>
      </c>
      <c r="BB118">
        <v>-19.52120051366299</v>
      </c>
      <c r="BC118">
        <v>16.586740750225815</v>
      </c>
      <c r="BD118">
        <v>24.689437423564328</v>
      </c>
      <c r="BE118">
        <v>2.6697693827682656</v>
      </c>
      <c r="BF118">
        <v>-1.1332865067757325E-2</v>
      </c>
      <c r="BG118">
        <v>-4.8066370399159553</v>
      </c>
      <c r="BH118">
        <v>-28.760135385375889</v>
      </c>
      <c r="BI118">
        <v>-11.104170920330262</v>
      </c>
      <c r="BJ118">
        <v>14.650359788845108</v>
      </c>
      <c r="BK118">
        <v>18.203992099393702</v>
      </c>
      <c r="BL118">
        <v>-2.6744400358069385</v>
      </c>
      <c r="BM118">
        <v>-11.220196387429368</v>
      </c>
      <c r="BN118">
        <v>38.899833152983433</v>
      </c>
      <c r="BO118">
        <v>26.941610949221811</v>
      </c>
      <c r="BP118">
        <v>-15.534723785008069</v>
      </c>
      <c r="BQ118">
        <v>4.3696812576486082</v>
      </c>
    </row>
    <row r="119" spans="1:69" hidden="1" x14ac:dyDescent="0.2">
      <c r="A119" t="s">
        <v>299</v>
      </c>
      <c r="B119" t="s">
        <v>300</v>
      </c>
      <c r="C119" t="s">
        <v>71</v>
      </c>
      <c r="D119" t="s">
        <v>72</v>
      </c>
      <c r="F119">
        <v>13.270846893902416</v>
      </c>
      <c r="G119">
        <v>11.14674428246127</v>
      </c>
      <c r="H119">
        <v>8.2279121189514228</v>
      </c>
      <c r="I119">
        <v>16.218132109947177</v>
      </c>
      <c r="J119">
        <v>12.392038892392947</v>
      </c>
      <c r="K119">
        <v>10.424818104212079</v>
      </c>
      <c r="L119">
        <v>2.7559567661873814</v>
      </c>
      <c r="M119">
        <v>13.741217002020775</v>
      </c>
      <c r="N119">
        <v>20.856146861389362</v>
      </c>
      <c r="O119">
        <v>16.44000879603793</v>
      </c>
      <c r="P119">
        <v>12.553315755084895</v>
      </c>
      <c r="Q119">
        <v>18.334474249193406</v>
      </c>
      <c r="R119">
        <v>31.456421977736625</v>
      </c>
      <c r="S119">
        <v>37.691899958160576</v>
      </c>
      <c r="T119">
        <v>41.867250487246366</v>
      </c>
      <c r="U119">
        <v>32.736847680258535</v>
      </c>
      <c r="V119">
        <v>32.705948537753926</v>
      </c>
      <c r="W119">
        <v>46.248802549748717</v>
      </c>
      <c r="X119">
        <v>40.897378346933863</v>
      </c>
      <c r="Y119">
        <v>52.475799744402394</v>
      </c>
      <c r="Z119">
        <v>49.185406083850381</v>
      </c>
      <c r="AA119">
        <v>53.646382922773029</v>
      </c>
      <c r="AB119">
        <v>77.305067163978947</v>
      </c>
      <c r="AC119">
        <v>26.880759924815933</v>
      </c>
      <c r="AD119">
        <v>32.084544006788747</v>
      </c>
      <c r="AE119">
        <v>24.586225134461358</v>
      </c>
      <c r="AF119">
        <v>19.946489127951978</v>
      </c>
      <c r="AG119">
        <v>23.135292741232135</v>
      </c>
      <c r="AH119">
        <v>22.868413215282629</v>
      </c>
      <c r="AI119">
        <v>15.171552261883875</v>
      </c>
      <c r="AJ119">
        <v>8.3653420857152838</v>
      </c>
      <c r="AK119">
        <v>3.4492896158137398</v>
      </c>
      <c r="AL119">
        <v>1.8318475215268251</v>
      </c>
      <c r="AM119">
        <v>2.6033769775652331</v>
      </c>
      <c r="AN119">
        <v>2.9975695754006892</v>
      </c>
      <c r="AO119">
        <v>2.4792913530302485</v>
      </c>
      <c r="AP119">
        <v>2.7541005129414486</v>
      </c>
      <c r="AQ119">
        <v>4.7146848702745103</v>
      </c>
      <c r="AR119">
        <v>3.4982374350989858</v>
      </c>
      <c r="AS119">
        <v>4.0247933508801736</v>
      </c>
      <c r="AT119">
        <v>8.7037497977250098</v>
      </c>
      <c r="AU119">
        <v>5.8721378319484359</v>
      </c>
      <c r="AV119">
        <v>0.49186324037555096</v>
      </c>
      <c r="AW119">
        <v>2.6750133849110256</v>
      </c>
      <c r="AX119">
        <v>3.0658610191615594</v>
      </c>
      <c r="AY119">
        <v>8.6166845770017346</v>
      </c>
      <c r="AZ119">
        <v>4.333145627219892</v>
      </c>
      <c r="BA119">
        <v>12.135281493293121</v>
      </c>
      <c r="BB119">
        <v>10.804708465922275</v>
      </c>
      <c r="BC119">
        <v>6.3688544733945918</v>
      </c>
      <c r="BD119">
        <v>3.0966695895602498</v>
      </c>
      <c r="BE119">
        <v>3.4408803121873461</v>
      </c>
      <c r="BF119">
        <v>2.1245418688180138</v>
      </c>
      <c r="BG119">
        <v>4.1416519268755394</v>
      </c>
      <c r="BH119">
        <v>6.0545203281439512</v>
      </c>
      <c r="BI119">
        <v>2.2608608493376323</v>
      </c>
      <c r="BJ119">
        <v>0.93699289482648851</v>
      </c>
      <c r="BK119">
        <v>2.6316121436408508</v>
      </c>
      <c r="BL119">
        <v>4.4567757982632656</v>
      </c>
      <c r="BM119">
        <v>4.0158880900770839</v>
      </c>
      <c r="BN119">
        <v>6.3688427559202836</v>
      </c>
      <c r="BO119">
        <v>8.8511540301349925</v>
      </c>
      <c r="BP119">
        <v>5.7875151874695234</v>
      </c>
      <c r="BQ119">
        <v>5.8569924147911223</v>
      </c>
    </row>
    <row r="120" spans="1:69" hidden="1" x14ac:dyDescent="0.2">
      <c r="A120" t="s">
        <v>301</v>
      </c>
      <c r="B120" t="s">
        <v>302</v>
      </c>
      <c r="C120" t="s">
        <v>71</v>
      </c>
      <c r="D120" t="s">
        <v>72</v>
      </c>
      <c r="F120">
        <v>8.6093437592300575</v>
      </c>
      <c r="G120">
        <v>8.9100430885274022</v>
      </c>
      <c r="H120">
        <v>7.6915087793060621</v>
      </c>
      <c r="I120">
        <v>5.4430822485201702</v>
      </c>
      <c r="J120">
        <v>-1.3078644011255562</v>
      </c>
      <c r="K120">
        <v>8.7308228846522837</v>
      </c>
      <c r="L120">
        <v>-1.6881835134164476</v>
      </c>
      <c r="M120">
        <v>-1.3992945214872208</v>
      </c>
      <c r="N120">
        <v>1.5962626623802691</v>
      </c>
      <c r="O120">
        <v>9.5982438063167308</v>
      </c>
      <c r="P120">
        <v>14.426741956619352</v>
      </c>
      <c r="Q120">
        <v>16.605660807199001</v>
      </c>
      <c r="R120">
        <v>22.229818657641289</v>
      </c>
      <c r="S120">
        <v>35.501139974916669</v>
      </c>
      <c r="T120">
        <v>36.567152307972606</v>
      </c>
      <c r="U120">
        <v>31.378056520754967</v>
      </c>
      <c r="V120">
        <v>41.558341035670793</v>
      </c>
      <c r="W120">
        <v>56.150173000861145</v>
      </c>
      <c r="X120">
        <v>76.858263708813837</v>
      </c>
      <c r="Y120">
        <v>125.3681146688383</v>
      </c>
      <c r="Z120">
        <v>124.62122713362342</v>
      </c>
      <c r="AA120">
        <v>127.24415823513775</v>
      </c>
      <c r="AB120">
        <v>149.92092269879814</v>
      </c>
      <c r="AC120">
        <v>384.77045479227104</v>
      </c>
      <c r="AD120">
        <v>264.53668141869321</v>
      </c>
      <c r="AE120">
        <v>50.159936338516786</v>
      </c>
      <c r="AF120">
        <v>20.17887077215596</v>
      </c>
      <c r="AG120">
        <v>19.165227522132795</v>
      </c>
      <c r="AH120">
        <v>18.70286657404192</v>
      </c>
      <c r="AI120">
        <v>15.932065660862605</v>
      </c>
      <c r="AJ120">
        <v>20.129770038612207</v>
      </c>
      <c r="AK120">
        <v>12.058127701698368</v>
      </c>
      <c r="AL120">
        <v>11.090247547309943</v>
      </c>
      <c r="AM120">
        <v>12.537929289834409</v>
      </c>
      <c r="AN120">
        <v>9.0692393794067812</v>
      </c>
      <c r="AO120">
        <v>9.2739441507605278</v>
      </c>
      <c r="AP120">
        <v>8.2415317954688305</v>
      </c>
      <c r="AQ120">
        <v>6.7792409566938403</v>
      </c>
      <c r="AR120">
        <v>6.2202300533703152</v>
      </c>
      <c r="AS120">
        <v>1.9852180992542259</v>
      </c>
      <c r="AT120">
        <v>1.725262392763355</v>
      </c>
      <c r="AU120">
        <v>4.723436236535079</v>
      </c>
      <c r="AV120">
        <v>-0.65648311334874165</v>
      </c>
      <c r="AW120">
        <v>0.22840447212337267</v>
      </c>
      <c r="AX120">
        <v>1.0359843379819722</v>
      </c>
      <c r="AY120">
        <v>1.2758701564035988</v>
      </c>
      <c r="AZ120">
        <v>0.78223740819379373</v>
      </c>
      <c r="BA120">
        <v>1.3592311720244368</v>
      </c>
      <c r="BB120">
        <v>4.425224614368588</v>
      </c>
      <c r="BC120">
        <v>1.1908579544763143</v>
      </c>
      <c r="BD120">
        <v>1.445386892563306</v>
      </c>
      <c r="BE120">
        <v>3.4215603761403628</v>
      </c>
      <c r="BF120">
        <v>1.8741405571816188</v>
      </c>
      <c r="BG120">
        <v>0.77627127550879038</v>
      </c>
      <c r="BH120">
        <v>2.3610821174436154</v>
      </c>
      <c r="BI120">
        <v>0.34865758435149985</v>
      </c>
      <c r="BJ120">
        <v>6.5518169634799506E-3</v>
      </c>
      <c r="BK120">
        <v>0.68524004677226458</v>
      </c>
      <c r="BL120">
        <v>1.9164007843925077</v>
      </c>
      <c r="BM120">
        <v>1.0571068213242114</v>
      </c>
      <c r="BN120">
        <v>2.2971322775202623</v>
      </c>
      <c r="BO120">
        <v>4.9353036400876249</v>
      </c>
      <c r="BP120">
        <v>4.5496264292748094</v>
      </c>
      <c r="BQ120">
        <v>5.5153607874598691</v>
      </c>
    </row>
    <row r="121" spans="1:69" hidden="1" x14ac:dyDescent="0.2">
      <c r="A121" t="s">
        <v>303</v>
      </c>
      <c r="B121" t="s">
        <v>304</v>
      </c>
      <c r="C121" t="s">
        <v>71</v>
      </c>
      <c r="D121" t="s">
        <v>72</v>
      </c>
      <c r="F121">
        <v>2.7821588820764447</v>
      </c>
      <c r="G121">
        <v>5.7937299159066526</v>
      </c>
      <c r="H121">
        <v>8.4578599002788479</v>
      </c>
      <c r="I121">
        <v>6.4898079367863772</v>
      </c>
      <c r="J121">
        <v>4.1970401960937664</v>
      </c>
      <c r="K121">
        <v>2.23239628591665</v>
      </c>
      <c r="L121">
        <v>2.7752589811404818</v>
      </c>
      <c r="M121">
        <v>1.7344511291513101</v>
      </c>
      <c r="N121">
        <v>4.05131666023577</v>
      </c>
      <c r="O121">
        <v>6.8650349244104376</v>
      </c>
      <c r="P121">
        <v>7.1788396228639897</v>
      </c>
      <c r="Q121">
        <v>5.6329717805234623</v>
      </c>
      <c r="R121">
        <v>12.738632344056484</v>
      </c>
      <c r="S121">
        <v>20.246380021271676</v>
      </c>
      <c r="T121">
        <v>16.983089323791006</v>
      </c>
      <c r="U121">
        <v>17.454275990583824</v>
      </c>
      <c r="V121">
        <v>18.477157613690352</v>
      </c>
      <c r="W121">
        <v>13.944974303755828</v>
      </c>
      <c r="X121">
        <v>15.451027098754338</v>
      </c>
      <c r="Y121">
        <v>20.815794436993556</v>
      </c>
      <c r="Z121">
        <v>18.787226154960194</v>
      </c>
      <c r="AA121">
        <v>17.540950018395506</v>
      </c>
      <c r="AB121">
        <v>15.096739431876387</v>
      </c>
      <c r="AC121">
        <v>10.761845014069692</v>
      </c>
      <c r="AD121">
        <v>9.174642530046853</v>
      </c>
      <c r="AE121">
        <v>7.4884178650408444</v>
      </c>
      <c r="AF121">
        <v>6.0092829352980743</v>
      </c>
      <c r="AG121">
        <v>6.6504025399366924</v>
      </c>
      <c r="AH121">
        <v>6.1973879957049718</v>
      </c>
      <c r="AI121">
        <v>8.9140632822383168</v>
      </c>
      <c r="AJ121">
        <v>7.5813286531060129</v>
      </c>
      <c r="AK121">
        <v>4.3681156751300705</v>
      </c>
      <c r="AL121">
        <v>3.8859517545343039</v>
      </c>
      <c r="AM121">
        <v>3.542473557826483</v>
      </c>
      <c r="AN121">
        <v>4.9252445295748828</v>
      </c>
      <c r="AO121">
        <v>4.3727884304828137</v>
      </c>
      <c r="AP121">
        <v>2.5441505112975022</v>
      </c>
      <c r="AQ121">
        <v>2.3685368211513236</v>
      </c>
      <c r="AR121">
        <v>1.4773012485822363</v>
      </c>
      <c r="AS121">
        <v>1.7560288017442645</v>
      </c>
      <c r="AT121">
        <v>3.0639797407623632</v>
      </c>
      <c r="AU121">
        <v>3.3050076247814815</v>
      </c>
      <c r="AV121">
        <v>3.167264363652734</v>
      </c>
      <c r="AW121">
        <v>2.6297604274694919</v>
      </c>
      <c r="AX121">
        <v>2.08420453015475</v>
      </c>
      <c r="AY121">
        <v>2.2158914279103499</v>
      </c>
      <c r="AZ121">
        <v>2.4667449204173408</v>
      </c>
      <c r="BA121">
        <v>2.4045949684590369</v>
      </c>
      <c r="BB121">
        <v>1.772535353975087</v>
      </c>
      <c r="BC121">
        <v>0.59783970291655919</v>
      </c>
      <c r="BD121">
        <v>1.7287837088573781</v>
      </c>
      <c r="BE121">
        <v>1.702379823175022</v>
      </c>
      <c r="BF121">
        <v>1.1257840362335827</v>
      </c>
      <c r="BG121">
        <v>0.90255070883426924</v>
      </c>
      <c r="BH121">
        <v>0.78277647774089587</v>
      </c>
      <c r="BI121">
        <v>1.2481718416734537</v>
      </c>
      <c r="BJ121">
        <v>0.70982171508069314</v>
      </c>
      <c r="BK121">
        <v>1.0705815164065342</v>
      </c>
      <c r="BL121">
        <v>1.0470069043043537</v>
      </c>
      <c r="BM121">
        <v>1.5774027879677135</v>
      </c>
      <c r="BN121">
        <v>1.2833218729264075</v>
      </c>
      <c r="BO121">
        <v>3.455359171347709</v>
      </c>
      <c r="BP121">
        <v>5.9146160579243627</v>
      </c>
      <c r="BQ121">
        <v>2.1110899199595394</v>
      </c>
    </row>
    <row r="122" spans="1:69" hidden="1" x14ac:dyDescent="0.2">
      <c r="A122" t="s">
        <v>305</v>
      </c>
      <c r="B122" t="s">
        <v>306</v>
      </c>
      <c r="C122" t="s">
        <v>71</v>
      </c>
      <c r="D122" t="s">
        <v>72</v>
      </c>
      <c r="L122">
        <v>4.241781109943048</v>
      </c>
      <c r="M122">
        <v>2.7348121606220559</v>
      </c>
      <c r="N122">
        <v>4.1056606306608074</v>
      </c>
      <c r="O122">
        <v>5.2259258209363111</v>
      </c>
      <c r="P122">
        <v>6.9224351485011226</v>
      </c>
      <c r="Q122">
        <v>-4.9058129055004116</v>
      </c>
      <c r="R122">
        <v>26.448541353541131</v>
      </c>
      <c r="S122">
        <v>31.086158885367411</v>
      </c>
      <c r="T122">
        <v>20.742701965803391</v>
      </c>
      <c r="U122">
        <v>11.131130100210967</v>
      </c>
      <c r="V122">
        <v>12.48649653863832</v>
      </c>
      <c r="W122">
        <v>26.575104103720506</v>
      </c>
      <c r="X122">
        <v>15.73694358389082</v>
      </c>
      <c r="Y122">
        <v>18.288010784912757</v>
      </c>
      <c r="Z122">
        <v>8.3243428784800955</v>
      </c>
      <c r="AA122">
        <v>8.3147884276131947</v>
      </c>
      <c r="AB122">
        <v>16.960596812508172</v>
      </c>
      <c r="AC122">
        <v>35.919195721821637</v>
      </c>
      <c r="AD122">
        <v>28.528846389953856</v>
      </c>
      <c r="AE122">
        <v>26.861122180826996</v>
      </c>
      <c r="AF122">
        <v>10.822594575582855</v>
      </c>
      <c r="AG122">
        <v>12.055576655298708</v>
      </c>
      <c r="AH122">
        <v>12.369221281560257</v>
      </c>
      <c r="AI122">
        <v>25.117105883600871</v>
      </c>
      <c r="AJ122">
        <v>43.842287639048578</v>
      </c>
      <c r="AK122">
        <v>60.035733884995864</v>
      </c>
      <c r="AL122">
        <v>52.806399666526005</v>
      </c>
      <c r="AM122">
        <v>31.107246528846474</v>
      </c>
      <c r="AN122">
        <v>25.186852402890224</v>
      </c>
      <c r="AO122">
        <v>18.872107828523795</v>
      </c>
      <c r="AP122">
        <v>9.6086992002075959</v>
      </c>
      <c r="AQ122">
        <v>10.575072448255753</v>
      </c>
      <c r="AR122">
        <v>6.9160608124156511</v>
      </c>
      <c r="AS122">
        <v>10.587080251325133</v>
      </c>
      <c r="AT122">
        <v>7.8073694009517283</v>
      </c>
      <c r="AU122">
        <v>9.0838484289886452</v>
      </c>
      <c r="AV122">
        <v>11.62405511085089</v>
      </c>
      <c r="AW122">
        <v>12.85859953419444</v>
      </c>
      <c r="AX122">
        <v>11.468743868208691</v>
      </c>
      <c r="AY122">
        <v>8.8481929326596145</v>
      </c>
      <c r="AZ122">
        <v>11.320810379735221</v>
      </c>
      <c r="BA122">
        <v>13.546809525489991</v>
      </c>
      <c r="BB122">
        <v>11.656504980206364</v>
      </c>
      <c r="BC122">
        <v>9.8102351682039597</v>
      </c>
      <c r="BD122">
        <v>5.7961884720497494</v>
      </c>
      <c r="BE122">
        <v>6.5719036138820712</v>
      </c>
      <c r="BF122">
        <v>8.4158156566074922</v>
      </c>
      <c r="BG122">
        <v>6.9299458914800169</v>
      </c>
      <c r="BH122">
        <v>6.6554078239295933</v>
      </c>
      <c r="BI122">
        <v>4.6641117557669247</v>
      </c>
      <c r="BJ122">
        <v>6.5498273521461385</v>
      </c>
      <c r="BK122">
        <v>4.9932411497648559</v>
      </c>
      <c r="BL122">
        <v>3.1825030946580881</v>
      </c>
      <c r="BM122">
        <v>3.4641920445733092</v>
      </c>
      <c r="BN122">
        <v>7.4259607166140142</v>
      </c>
      <c r="BO122">
        <v>12.797800381451481</v>
      </c>
      <c r="BP122">
        <v>11.246138938373136</v>
      </c>
      <c r="BQ122">
        <v>4.8819010362940674</v>
      </c>
    </row>
    <row r="123" spans="1:69" hidden="1" x14ac:dyDescent="0.2">
      <c r="A123" t="s">
        <v>307</v>
      </c>
      <c r="B123" t="s">
        <v>308</v>
      </c>
      <c r="C123" t="s">
        <v>71</v>
      </c>
      <c r="D123" t="s">
        <v>72</v>
      </c>
      <c r="V123">
        <v>12.393833589535859</v>
      </c>
      <c r="W123">
        <v>0.44866263737273471</v>
      </c>
      <c r="X123">
        <v>2.2643313730188908</v>
      </c>
      <c r="Y123">
        <v>6.6376302788863057</v>
      </c>
      <c r="Z123">
        <v>6.123385305333187</v>
      </c>
      <c r="AA123">
        <v>6.4321214527483335</v>
      </c>
      <c r="AB123">
        <v>10.730145660333207</v>
      </c>
      <c r="AC123">
        <v>2.4915645340021513</v>
      </c>
      <c r="AD123">
        <v>6.0599699106343508</v>
      </c>
      <c r="AE123">
        <v>7.7643052916840816</v>
      </c>
      <c r="AF123">
        <v>-0.25530325848859547</v>
      </c>
      <c r="AG123">
        <v>1.2699501215002869</v>
      </c>
      <c r="AH123">
        <v>15.637318556669655</v>
      </c>
      <c r="AI123">
        <v>14.151270222861669</v>
      </c>
      <c r="AJ123">
        <v>5.4352569502588324</v>
      </c>
      <c r="AK123">
        <v>6.7386811523715977</v>
      </c>
      <c r="AL123">
        <v>2.9689792196956546</v>
      </c>
      <c r="AM123">
        <v>6.8617322590587975</v>
      </c>
      <c r="AN123">
        <v>1.884591530842485</v>
      </c>
      <c r="AO123">
        <v>2.0465666064470582</v>
      </c>
      <c r="AP123">
        <v>1.2455594998883441</v>
      </c>
      <c r="AQ123">
        <v>6.0044026750300219</v>
      </c>
      <c r="AR123">
        <v>-0.37320862752051198</v>
      </c>
      <c r="AS123">
        <v>-0.41386957756918719</v>
      </c>
      <c r="AT123">
        <v>0.77390940222645099</v>
      </c>
      <c r="AU123">
        <v>0.92450973105991352</v>
      </c>
      <c r="AV123">
        <v>2.1472631037640326</v>
      </c>
      <c r="AW123">
        <v>3.0950795015291135</v>
      </c>
      <c r="AX123">
        <v>2.0064743032682202</v>
      </c>
      <c r="AY123">
        <v>10.649451546762819</v>
      </c>
      <c r="AZ123">
        <v>5.0489183732776155</v>
      </c>
      <c r="BA123">
        <v>23.624684425513493</v>
      </c>
      <c r="BB123">
        <v>3.1615964807251657</v>
      </c>
      <c r="BC123">
        <v>8.0774560971307352</v>
      </c>
      <c r="BD123">
        <v>5.9105109580173405</v>
      </c>
      <c r="BE123">
        <v>4.6068152259388455</v>
      </c>
      <c r="BF123">
        <v>6.1436238894443989</v>
      </c>
      <c r="BG123">
        <v>3.4453235631560943</v>
      </c>
      <c r="BH123">
        <v>2.1697521169532337</v>
      </c>
      <c r="BI123">
        <v>1.362006641750682</v>
      </c>
      <c r="BJ123">
        <v>1.7835501097129622</v>
      </c>
      <c r="BK123">
        <v>2.2730468059104254</v>
      </c>
      <c r="BL123">
        <v>0.84435565685406289</v>
      </c>
      <c r="BM123">
        <v>-0.70858797027952392</v>
      </c>
      <c r="BN123">
        <v>2.2036043491637969</v>
      </c>
      <c r="BO123">
        <v>2.6160732013135117</v>
      </c>
      <c r="BP123">
        <v>1.8279159257534161</v>
      </c>
      <c r="BQ123">
        <v>1.8951010218344493</v>
      </c>
    </row>
    <row r="124" spans="1:69" hidden="1" x14ac:dyDescent="0.2">
      <c r="A124" t="s">
        <v>309</v>
      </c>
      <c r="B124" t="s">
        <v>310</v>
      </c>
      <c r="C124" t="s">
        <v>71</v>
      </c>
      <c r="D124" t="s">
        <v>72</v>
      </c>
      <c r="F124">
        <v>7.7857176161408148</v>
      </c>
      <c r="G124">
        <v>4.1995775696135098</v>
      </c>
      <c r="H124">
        <v>5.5104690591460894</v>
      </c>
      <c r="I124">
        <v>5.3287058835664851</v>
      </c>
      <c r="J124">
        <v>5.136857284640044</v>
      </c>
      <c r="K124">
        <v>4.9708691470538753</v>
      </c>
      <c r="L124">
        <v>5.4953900760849308</v>
      </c>
      <c r="M124">
        <v>4.9188631817882253</v>
      </c>
      <c r="N124">
        <v>4.4333987046998544</v>
      </c>
      <c r="O124">
        <v>17.396432963335528</v>
      </c>
      <c r="P124">
        <v>5.0913519372916625</v>
      </c>
      <c r="Q124">
        <v>5.6044216194487575</v>
      </c>
      <c r="R124">
        <v>12.705396160549924</v>
      </c>
      <c r="S124">
        <v>20.81005042390818</v>
      </c>
      <c r="T124">
        <v>7.1774408525854199</v>
      </c>
      <c r="U124">
        <v>8.0078864857604515</v>
      </c>
      <c r="V124">
        <v>6.749106630400135</v>
      </c>
      <c r="W124">
        <v>4.6037582902704486</v>
      </c>
      <c r="X124">
        <v>2.7516310301922431</v>
      </c>
      <c r="Y124">
        <v>5.4379838963539555</v>
      </c>
      <c r="Z124">
        <v>2.8576621920690854</v>
      </c>
      <c r="AA124">
        <v>1.7595230550313943</v>
      </c>
      <c r="AB124">
        <v>0.92075058391107234</v>
      </c>
      <c r="AC124">
        <v>1.4296058907857088</v>
      </c>
      <c r="AD124">
        <v>1.2606205988447812</v>
      </c>
      <c r="AE124">
        <v>1.6120268599670453</v>
      </c>
      <c r="AF124">
        <v>-0.1637856795582735</v>
      </c>
      <c r="AG124">
        <v>0.60978928289354428</v>
      </c>
      <c r="AH124">
        <v>2.0690402463725093</v>
      </c>
      <c r="AI124">
        <v>2.5644041394602226</v>
      </c>
      <c r="AJ124">
        <v>2.9045709865415716</v>
      </c>
      <c r="AK124">
        <v>1.6772695911223963</v>
      </c>
      <c r="AL124">
        <v>0.52841064239107993</v>
      </c>
      <c r="AM124">
        <v>0.18680862925910446</v>
      </c>
      <c r="AN124">
        <v>-0.52345898366191079</v>
      </c>
      <c r="AO124">
        <v>-0.4457753931679207</v>
      </c>
      <c r="AP124">
        <v>0.50446081411590171</v>
      </c>
      <c r="AQ124">
        <v>-2.6680247003696422E-2</v>
      </c>
      <c r="AR124">
        <v>-1.2410513473217151</v>
      </c>
      <c r="AS124">
        <v>-1.3362600899212111</v>
      </c>
      <c r="AT124">
        <v>-1.0848798481483328</v>
      </c>
      <c r="AU124">
        <v>-1.3909786153320312</v>
      </c>
      <c r="AV124">
        <v>-1.6077037076932754</v>
      </c>
      <c r="AW124">
        <v>-1.1247663998249351</v>
      </c>
      <c r="AX124">
        <v>-1.1940176804521769</v>
      </c>
      <c r="AY124">
        <v>-0.86201838919154739</v>
      </c>
      <c r="AZ124">
        <v>-0.70524354744088669</v>
      </c>
      <c r="BA124">
        <v>-0.91153028839664785</v>
      </c>
      <c r="BB124">
        <v>-0.56956492451391227</v>
      </c>
      <c r="BC124">
        <v>-1.8807419500621307</v>
      </c>
      <c r="BD124">
        <v>-1.62208025011698</v>
      </c>
      <c r="BE124">
        <v>-0.75609311940243629</v>
      </c>
      <c r="BF124">
        <v>-0.35437505436885886</v>
      </c>
      <c r="BG124">
        <v>1.6862947862674531</v>
      </c>
      <c r="BH124">
        <v>2.1112989932159394</v>
      </c>
      <c r="BI124">
        <v>0.41994437617127289</v>
      </c>
      <c r="BJ124">
        <v>-7.4349503796440786E-2</v>
      </c>
      <c r="BK124">
        <v>-2.3750645996756248E-4</v>
      </c>
      <c r="BL124">
        <v>0.63480316567992645</v>
      </c>
      <c r="BM124">
        <v>0.93391218685854938</v>
      </c>
      <c r="BN124">
        <v>-0.20383582182870441</v>
      </c>
      <c r="BO124">
        <v>0.39904896876275586</v>
      </c>
      <c r="BP124">
        <v>4.0681984888696405</v>
      </c>
      <c r="BQ124">
        <v>2.8738099365710639</v>
      </c>
    </row>
    <row r="125" spans="1:69" hidden="1" x14ac:dyDescent="0.2">
      <c r="A125" t="s">
        <v>311</v>
      </c>
      <c r="B125" t="s">
        <v>312</v>
      </c>
      <c r="C125" t="s">
        <v>71</v>
      </c>
      <c r="D125" t="s">
        <v>72</v>
      </c>
      <c r="AJ125">
        <v>96.356496131147793</v>
      </c>
      <c r="AK125">
        <v>1472.2163557255965</v>
      </c>
      <c r="AL125">
        <v>1243.4616565054137</v>
      </c>
      <c r="AM125">
        <v>1546.7268159842861</v>
      </c>
      <c r="AN125">
        <v>160.88867351986323</v>
      </c>
      <c r="AO125">
        <v>38.899631146546938</v>
      </c>
      <c r="AP125">
        <v>16.135729979604235</v>
      </c>
      <c r="AQ125">
        <v>5.6628447230408625</v>
      </c>
      <c r="AR125">
        <v>13.280140620793773</v>
      </c>
      <c r="AS125">
        <v>17.426402678376178</v>
      </c>
      <c r="AT125">
        <v>10.156432638259119</v>
      </c>
      <c r="AU125">
        <v>5.8032240967661863</v>
      </c>
      <c r="AV125">
        <v>11.738524647422281</v>
      </c>
      <c r="AW125">
        <v>16.131626994790423</v>
      </c>
      <c r="AX125">
        <v>17.874827250545195</v>
      </c>
      <c r="AY125">
        <v>21.551708909557902</v>
      </c>
      <c r="AZ125">
        <v>15.527097295262209</v>
      </c>
      <c r="BA125">
        <v>20.936538211787735</v>
      </c>
      <c r="BB125">
        <v>4.691085074031605</v>
      </c>
      <c r="BC125">
        <v>19.5422853937296</v>
      </c>
      <c r="BD125">
        <v>20.542958265529904</v>
      </c>
      <c r="BE125">
        <v>4.7855698106675391</v>
      </c>
      <c r="BF125">
        <v>9.4990814435921465</v>
      </c>
      <c r="BG125">
        <v>5.7712395247827573</v>
      </c>
      <c r="BH125">
        <v>1.8235498762864069</v>
      </c>
      <c r="BI125">
        <v>13.63843361764259</v>
      </c>
      <c r="BJ125">
        <v>11.211105653728964</v>
      </c>
      <c r="BK125">
        <v>9.2056059976666234</v>
      </c>
      <c r="BL125">
        <v>7.6332862373394477</v>
      </c>
      <c r="BM125">
        <v>4.2108582925890659</v>
      </c>
      <c r="BN125">
        <v>13.930075055161367</v>
      </c>
      <c r="BO125">
        <v>19.769006480249217</v>
      </c>
      <c r="BP125">
        <v>9.5222468824753577</v>
      </c>
      <c r="BQ125">
        <v>8.0496122773425753</v>
      </c>
    </row>
    <row r="126" spans="1:69" hidden="1" x14ac:dyDescent="0.2">
      <c r="A126" t="s">
        <v>313</v>
      </c>
      <c r="B126" t="s">
        <v>314</v>
      </c>
      <c r="C126" t="s">
        <v>71</v>
      </c>
      <c r="D126" t="s">
        <v>72</v>
      </c>
      <c r="F126">
        <v>8.6621766402076048</v>
      </c>
      <c r="G126">
        <v>1.8308136380085216E-2</v>
      </c>
      <c r="H126">
        <v>-1.8773166593452686</v>
      </c>
      <c r="I126">
        <v>2.6907300541218149</v>
      </c>
      <c r="J126">
        <v>-2.0519737985108293</v>
      </c>
      <c r="K126">
        <v>1.7137888670456221</v>
      </c>
      <c r="L126">
        <v>2.4008091382918622</v>
      </c>
      <c r="M126">
        <v>1.6788408490153301</v>
      </c>
      <c r="N126">
        <v>-0.17986667300677084</v>
      </c>
      <c r="O126">
        <v>15.315661077387304</v>
      </c>
      <c r="P126">
        <v>-9.2191579145723637</v>
      </c>
      <c r="Q126">
        <v>1.2052458534617188</v>
      </c>
      <c r="R126">
        <v>10.203841481163735</v>
      </c>
      <c r="S126">
        <v>16.049272207670967</v>
      </c>
      <c r="T126">
        <v>11.835108625253099</v>
      </c>
      <c r="U126">
        <v>18.906171862903619</v>
      </c>
      <c r="V126">
        <v>16.899820619235712</v>
      </c>
      <c r="W126">
        <v>3.0809955483470048</v>
      </c>
      <c r="X126">
        <v>5.6386440635511406</v>
      </c>
      <c r="Y126">
        <v>9.5507200364122156</v>
      </c>
      <c r="Z126">
        <v>10.853077267915708</v>
      </c>
      <c r="AA126">
        <v>11.592553751291319</v>
      </c>
      <c r="AB126">
        <v>11.838037488010642</v>
      </c>
      <c r="AC126">
        <v>10.190719975476114</v>
      </c>
      <c r="AD126">
        <v>8.3057826959449699</v>
      </c>
      <c r="AE126">
        <v>8.7117235911027677</v>
      </c>
      <c r="AF126">
        <v>5.401952083835809</v>
      </c>
      <c r="AG126">
        <v>6.4556242788588207</v>
      </c>
      <c r="AH126">
        <v>9.7690093725366154</v>
      </c>
      <c r="AI126">
        <v>10.637198736734661</v>
      </c>
      <c r="AJ126">
        <v>12.531961896183802</v>
      </c>
      <c r="AK126">
        <v>18.897234082878668</v>
      </c>
      <c r="AL126">
        <v>25.698483612531973</v>
      </c>
      <c r="AM126">
        <v>17.016414787254192</v>
      </c>
      <c r="AN126">
        <v>11.221070842667814</v>
      </c>
      <c r="AO126">
        <v>41.988773908518795</v>
      </c>
      <c r="AP126">
        <v>11.435216331829423</v>
      </c>
      <c r="AQ126">
        <v>6.9314026688890493</v>
      </c>
      <c r="AR126">
        <v>4.1939390490643547</v>
      </c>
      <c r="AS126">
        <v>6.0798484892386426</v>
      </c>
      <c r="AT126">
        <v>1.5731202970259659</v>
      </c>
      <c r="AU126">
        <v>0.93320555589554033</v>
      </c>
      <c r="AV126">
        <v>6.1973132390099579</v>
      </c>
      <c r="AW126">
        <v>7.1268415550539146</v>
      </c>
      <c r="AX126">
        <v>4.8996497205896077</v>
      </c>
      <c r="AY126">
        <v>23.530133251010923</v>
      </c>
      <c r="AZ126">
        <v>8.129485596133776</v>
      </c>
      <c r="BA126">
        <v>15.151174964262637</v>
      </c>
      <c r="BB126">
        <v>27.696816376701292</v>
      </c>
      <c r="BC126">
        <v>1.6391996480253255</v>
      </c>
      <c r="BD126">
        <v>10.065012967231553</v>
      </c>
      <c r="BE126">
        <v>9.5229722115484776</v>
      </c>
      <c r="BF126">
        <v>7.3375622336044017</v>
      </c>
      <c r="BG126">
        <v>7.6350319014900236</v>
      </c>
      <c r="BH126">
        <v>9.2386546839628494</v>
      </c>
      <c r="BI126">
        <v>5.8496289464880817</v>
      </c>
      <c r="BJ126">
        <v>7.5819340282018146</v>
      </c>
      <c r="BK126">
        <v>4.215028414590563</v>
      </c>
      <c r="BL126">
        <v>4.275234239357502</v>
      </c>
      <c r="BM126">
        <v>4.9488528329135733</v>
      </c>
      <c r="BN126">
        <v>4.3307475585662019</v>
      </c>
      <c r="BO126">
        <v>6.9570544563121786</v>
      </c>
      <c r="BP126">
        <v>6.1078020918901501</v>
      </c>
      <c r="BQ126">
        <v>6.3151674642096651</v>
      </c>
    </row>
    <row r="127" spans="1:69" hidden="1" x14ac:dyDescent="0.2">
      <c r="A127" t="s">
        <v>315</v>
      </c>
      <c r="B127" t="s">
        <v>316</v>
      </c>
      <c r="C127" t="s">
        <v>71</v>
      </c>
      <c r="D127" t="s">
        <v>72</v>
      </c>
      <c r="AG127">
        <v>-1.8773064706755918</v>
      </c>
      <c r="AH127">
        <v>6.9860306912455883</v>
      </c>
      <c r="AI127">
        <v>7.9756988167390546</v>
      </c>
      <c r="AJ127">
        <v>134.77157361447709</v>
      </c>
      <c r="AK127">
        <v>830.11292303766731</v>
      </c>
      <c r="AL127">
        <v>754.42795613208489</v>
      </c>
      <c r="AM127">
        <v>180.87492991767783</v>
      </c>
      <c r="AN127">
        <v>42.031089232829402</v>
      </c>
      <c r="AO127">
        <v>35.342907906788696</v>
      </c>
      <c r="AP127">
        <v>19.309548412119341</v>
      </c>
      <c r="AQ127">
        <v>9.0775062837514611</v>
      </c>
      <c r="AR127">
        <v>37.574440469953032</v>
      </c>
      <c r="AS127">
        <v>27.161738047337394</v>
      </c>
      <c r="AT127">
        <v>7.3329741542645905</v>
      </c>
      <c r="AU127">
        <v>2.0252955922844365</v>
      </c>
      <c r="AV127">
        <v>3.9745624299609545</v>
      </c>
      <c r="AW127">
        <v>5.1086947807588672</v>
      </c>
      <c r="AX127">
        <v>7.12862226955437</v>
      </c>
      <c r="AY127">
        <v>9.3916177946831567</v>
      </c>
      <c r="AZ127">
        <v>14.876552220778279</v>
      </c>
      <c r="BA127">
        <v>22.215988411373914</v>
      </c>
      <c r="BB127">
        <v>4.0353038615728707</v>
      </c>
      <c r="BC127">
        <v>10.033903541966851</v>
      </c>
      <c r="BD127">
        <v>22.481842244893642</v>
      </c>
      <c r="BE127">
        <v>8.6563168088118658</v>
      </c>
      <c r="BF127">
        <v>3.1751881360427205</v>
      </c>
      <c r="BG127">
        <v>8.4152254362138876</v>
      </c>
      <c r="BH127">
        <v>3.4272875028895271</v>
      </c>
      <c r="BI127">
        <v>6.0505642705560518</v>
      </c>
      <c r="BJ127">
        <v>6.3271458626238797</v>
      </c>
      <c r="BK127">
        <v>3.4474451158925632</v>
      </c>
      <c r="BL127">
        <v>9.8113119474745929</v>
      </c>
      <c r="BM127">
        <v>5.3401855350872864</v>
      </c>
      <c r="BN127">
        <v>15.992797923604016</v>
      </c>
      <c r="BO127">
        <v>19.657284242177425</v>
      </c>
      <c r="BP127">
        <v>19.859198951851241</v>
      </c>
      <c r="BQ127">
        <v>4.7400641255585185</v>
      </c>
    </row>
    <row r="128" spans="1:69" hidden="1" x14ac:dyDescent="0.2">
      <c r="A128" t="s">
        <v>317</v>
      </c>
      <c r="B128" t="s">
        <v>318</v>
      </c>
      <c r="C128" t="s">
        <v>71</v>
      </c>
      <c r="D128" t="s">
        <v>72</v>
      </c>
      <c r="U128">
        <v>-1.1985018706096611</v>
      </c>
      <c r="V128">
        <v>15.601472808532719</v>
      </c>
      <c r="W128">
        <v>-1.5629003334131397</v>
      </c>
      <c r="X128">
        <v>13.701286256670812</v>
      </c>
      <c r="Y128">
        <v>6.0090219338046182</v>
      </c>
      <c r="Z128">
        <v>1.2189112255912278</v>
      </c>
      <c r="AA128">
        <v>-3.5269709510986047</v>
      </c>
      <c r="AB128">
        <v>20.311273672604457</v>
      </c>
      <c r="AC128">
        <v>65.33709920339146</v>
      </c>
      <c r="AD128">
        <v>-9.3394528114658044</v>
      </c>
      <c r="AE128">
        <v>157.29038633678181</v>
      </c>
      <c r="AF128">
        <v>79.591647878044455</v>
      </c>
      <c r="AG128">
        <v>76.621714711107984</v>
      </c>
      <c r="AH128">
        <v>19.018397405026221</v>
      </c>
      <c r="AI128">
        <v>145.62986225624752</v>
      </c>
      <c r="AJ128">
        <v>107.4400465694151</v>
      </c>
      <c r="AK128">
        <v>75.4217452008603</v>
      </c>
      <c r="AL128">
        <v>107.40000000163303</v>
      </c>
      <c r="AM128">
        <v>59.965293395077367</v>
      </c>
      <c r="AN128">
        <v>8.0041801609477972</v>
      </c>
      <c r="AO128">
        <v>3.0325019926669654</v>
      </c>
      <c r="AP128">
        <v>6.0050758324123166</v>
      </c>
      <c r="AQ128">
        <v>10.357737338192379</v>
      </c>
      <c r="AR128">
        <v>1.261552282349669</v>
      </c>
      <c r="AS128">
        <v>-3.2318376177997123</v>
      </c>
      <c r="AT128">
        <v>6.3976818069031651</v>
      </c>
      <c r="AU128">
        <v>1.9930778808371343</v>
      </c>
      <c r="AV128">
        <v>3.2725891940962271</v>
      </c>
      <c r="AW128">
        <v>7.5027972809527341</v>
      </c>
      <c r="AX128">
        <v>8.0167045733216042</v>
      </c>
      <c r="AY128">
        <v>6.7972855699495369</v>
      </c>
      <c r="AZ128">
        <v>8.6002494302942694</v>
      </c>
      <c r="BA128">
        <v>11.788432027930568</v>
      </c>
      <c r="BB128">
        <v>0.75113864029616195</v>
      </c>
      <c r="BC128">
        <v>6.2649988693231933</v>
      </c>
      <c r="BD128">
        <v>4.9507672315141065</v>
      </c>
      <c r="BE128">
        <v>2.6384360853477062</v>
      </c>
      <c r="BF128">
        <v>2.8690452471251007</v>
      </c>
      <c r="BG128">
        <v>3.2993691205076345</v>
      </c>
      <c r="BH128">
        <v>3.0693593414164297</v>
      </c>
      <c r="BI128">
        <v>1.5800748057582865</v>
      </c>
      <c r="BJ128">
        <v>2.0765070915485211</v>
      </c>
      <c r="BK128">
        <v>3.8165809450680683</v>
      </c>
      <c r="BL128">
        <v>2.7925574107017184</v>
      </c>
      <c r="BM128">
        <v>-0.82428140283251139</v>
      </c>
      <c r="BN128">
        <v>2.6457340349856509</v>
      </c>
      <c r="BO128">
        <v>3.4889001658858945</v>
      </c>
      <c r="BP128">
        <v>1.017607525237807</v>
      </c>
      <c r="BQ128">
        <v>2.3144629789357793</v>
      </c>
    </row>
    <row r="129" spans="1:69" hidden="1" x14ac:dyDescent="0.2">
      <c r="A129" t="s">
        <v>319</v>
      </c>
      <c r="B129" t="s">
        <v>320</v>
      </c>
      <c r="C129" t="s">
        <v>71</v>
      </c>
      <c r="D129" t="s">
        <v>72</v>
      </c>
      <c r="P129">
        <v>7.1133822925517904</v>
      </c>
      <c r="Q129">
        <v>5.2276978303573287</v>
      </c>
      <c r="R129">
        <v>16.255284639578036</v>
      </c>
      <c r="S129">
        <v>12.989662032074818</v>
      </c>
      <c r="T129">
        <v>9.4609893667691836</v>
      </c>
      <c r="U129">
        <v>9.1721094767354856</v>
      </c>
      <c r="V129">
        <v>8.8963503630011189</v>
      </c>
      <c r="W129">
        <v>11.856019453332962</v>
      </c>
      <c r="X129">
        <v>9.1744340914148665</v>
      </c>
      <c r="Y129">
        <v>-4.5291397442786803</v>
      </c>
      <c r="Z129">
        <v>-0.68953982139589698</v>
      </c>
      <c r="AA129">
        <v>6.3385127820357923</v>
      </c>
      <c r="AB129">
        <v>18.155578932894343</v>
      </c>
      <c r="AC129">
        <v>-1.9807262732712161E-2</v>
      </c>
      <c r="AD129">
        <v>10.019337525494777</v>
      </c>
      <c r="AE129">
        <v>6.5685388171960284</v>
      </c>
      <c r="AF129">
        <v>7.1633757075401121</v>
      </c>
      <c r="AG129">
        <v>-4.89344770072843</v>
      </c>
      <c r="AH129">
        <v>4.8119503518687168</v>
      </c>
      <c r="AI129">
        <v>5.0176174070655293</v>
      </c>
      <c r="AJ129">
        <v>19.912937883051754</v>
      </c>
      <c r="AK129">
        <v>27.560715673161027</v>
      </c>
      <c r="AL129">
        <v>3.6491895771389835</v>
      </c>
      <c r="AM129">
        <v>3.6703344071970605</v>
      </c>
      <c r="AN129">
        <v>-1.8043320179920102</v>
      </c>
      <c r="AO129">
        <v>12.541878715757633</v>
      </c>
      <c r="AP129">
        <v>2.6128169364163085</v>
      </c>
      <c r="AQ129">
        <v>5.6425347909236052</v>
      </c>
      <c r="AR129">
        <v>4.6072466577041098</v>
      </c>
      <c r="AS129">
        <v>0.99932583893800597</v>
      </c>
      <c r="AT129">
        <v>0.32319006754988777</v>
      </c>
      <c r="AU129">
        <v>8.0116776431892447</v>
      </c>
      <c r="AV129">
        <v>9.4408122295312182</v>
      </c>
      <c r="AW129">
        <v>-3.9061840644902759</v>
      </c>
      <c r="AX129">
        <v>4.0337631381595713</v>
      </c>
      <c r="AY129">
        <v>-5.4365197631797884</v>
      </c>
      <c r="AZ129">
        <v>7.3147301773897766</v>
      </c>
      <c r="BA129">
        <v>9.5027867415811755</v>
      </c>
      <c r="BB129">
        <v>1.9984639579180765</v>
      </c>
      <c r="BC129">
        <v>-0.8581807479639707</v>
      </c>
      <c r="BD129">
        <v>1.9986899290757094</v>
      </c>
      <c r="BE129">
        <v>-0.54207200629140573</v>
      </c>
      <c r="BF129">
        <v>-2.9792424345394437</v>
      </c>
      <c r="BG129">
        <v>5.0043137968664269</v>
      </c>
      <c r="BH129">
        <v>3.1392599551900702</v>
      </c>
      <c r="BI129">
        <v>1.7166184138409619</v>
      </c>
      <c r="BJ129">
        <v>0.91706217366510145</v>
      </c>
      <c r="BK129">
        <v>3.8621363257840642</v>
      </c>
      <c r="BL129">
        <v>-3.286246927982404</v>
      </c>
      <c r="BM129">
        <v>4.3670311565344662</v>
      </c>
      <c r="BN129">
        <v>9.0587277756513345</v>
      </c>
      <c r="BO129">
        <v>-1.9586722841101505</v>
      </c>
      <c r="BP129">
        <v>8.7035532168331997</v>
      </c>
      <c r="BQ129">
        <v>2.0178540256147244</v>
      </c>
    </row>
    <row r="130" spans="1:69" hidden="1" x14ac:dyDescent="0.2">
      <c r="A130" t="s">
        <v>321</v>
      </c>
      <c r="B130" t="s">
        <v>322</v>
      </c>
      <c r="C130" t="s">
        <v>71</v>
      </c>
      <c r="D130" t="s">
        <v>72</v>
      </c>
      <c r="W130">
        <v>6.9151103423071447</v>
      </c>
      <c r="X130">
        <v>10.625525795503961</v>
      </c>
      <c r="Y130">
        <v>7.2911920842470721</v>
      </c>
      <c r="Z130">
        <v>16.356323334141493</v>
      </c>
      <c r="AA130">
        <v>5.7668286867204728</v>
      </c>
      <c r="AB130">
        <v>-0.19414696227835293</v>
      </c>
      <c r="AC130">
        <v>4.2585165200924422</v>
      </c>
      <c r="AD130">
        <v>3.7119096104150913</v>
      </c>
      <c r="AE130">
        <v>6.1967681853664942</v>
      </c>
      <c r="AF130">
        <v>6.1062161401196846</v>
      </c>
      <c r="AG130">
        <v>7.0109252119673755</v>
      </c>
      <c r="AH130">
        <v>5.68893659993266</v>
      </c>
      <c r="AI130">
        <v>7.6030263420346529</v>
      </c>
      <c r="AJ130">
        <v>3.4392187765286195</v>
      </c>
      <c r="AK130">
        <v>5.2973145838607394</v>
      </c>
      <c r="AL130">
        <v>1.9908502989024441</v>
      </c>
      <c r="AM130">
        <v>6.272117619709249</v>
      </c>
      <c r="AN130">
        <v>0.78350644454650364</v>
      </c>
      <c r="AO130">
        <v>0.64581591691708695</v>
      </c>
      <c r="AP130">
        <v>4.9151547266676516</v>
      </c>
      <c r="AQ130">
        <v>2.8001815853156131</v>
      </c>
      <c r="AR130">
        <v>2.7800211954283043</v>
      </c>
      <c r="AS130">
        <v>-5.7513739340940191</v>
      </c>
      <c r="AT130">
        <v>3.3332218722913041</v>
      </c>
      <c r="AU130">
        <v>3.4760208551481924</v>
      </c>
      <c r="AV130">
        <v>1.6693909796197062</v>
      </c>
      <c r="AW130">
        <v>3.8391496384691806</v>
      </c>
      <c r="AX130">
        <v>-1.623765780761488</v>
      </c>
      <c r="AY130">
        <v>14.168330569562414</v>
      </c>
      <c r="AZ130">
        <v>6.3243771316921595</v>
      </c>
      <c r="BA130">
        <v>1.3555150148187636</v>
      </c>
      <c r="BB130">
        <v>3.0696829278825817</v>
      </c>
      <c r="BC130">
        <v>0.62854921328492708</v>
      </c>
      <c r="BD130">
        <v>5.6596535149853651</v>
      </c>
      <c r="BE130">
        <v>-0.64344122309587704</v>
      </c>
      <c r="BF130">
        <v>0.31390425476767803</v>
      </c>
      <c r="BG130">
        <v>1.200956465978507</v>
      </c>
      <c r="BH130">
        <v>-0.15623229866869792</v>
      </c>
      <c r="BI130">
        <v>1.201325225273564</v>
      </c>
      <c r="BJ130">
        <v>4.7505193649106445</v>
      </c>
      <c r="BK130">
        <v>-0.14899986700226009</v>
      </c>
      <c r="BL130">
        <v>-2.9258045255119214E-2</v>
      </c>
      <c r="BM130">
        <v>-5.7986365062399585</v>
      </c>
      <c r="BN130">
        <v>-3.2180199978714512</v>
      </c>
      <c r="BO130">
        <v>3.4582692910821891</v>
      </c>
      <c r="BP130">
        <v>3.3379968746739053</v>
      </c>
      <c r="BQ130">
        <v>-0.22418837306000228</v>
      </c>
    </row>
    <row r="131" spans="1:69" hidden="1" x14ac:dyDescent="0.2">
      <c r="A131" t="s">
        <v>323</v>
      </c>
      <c r="B131" t="s">
        <v>324</v>
      </c>
      <c r="C131" t="s">
        <v>71</v>
      </c>
      <c r="D131" t="s">
        <v>72</v>
      </c>
      <c r="F131">
        <v>12.897714157977759</v>
      </c>
      <c r="G131">
        <v>16.732372594861531</v>
      </c>
      <c r="H131">
        <v>29.980412152240604</v>
      </c>
      <c r="I131">
        <v>30.315647592712622</v>
      </c>
      <c r="J131">
        <v>4.7321638228235088</v>
      </c>
      <c r="K131">
        <v>14.496796350122509</v>
      </c>
      <c r="L131">
        <v>12.95920667920609</v>
      </c>
      <c r="M131">
        <v>13.881476434028002</v>
      </c>
      <c r="N131">
        <v>14.091435591965592</v>
      </c>
      <c r="O131">
        <v>14.843647697997525</v>
      </c>
      <c r="P131">
        <v>11.207581873356361</v>
      </c>
      <c r="Q131">
        <v>15.780401198978652</v>
      </c>
      <c r="R131">
        <v>12.721164162090275</v>
      </c>
      <c r="S131">
        <v>30.595369769909098</v>
      </c>
      <c r="T131">
        <v>23.682266857601377</v>
      </c>
      <c r="U131">
        <v>21.236931296248557</v>
      </c>
      <c r="V131">
        <v>14.45389684505065</v>
      </c>
      <c r="W131">
        <v>21.835728520506464</v>
      </c>
      <c r="X131">
        <v>18.534720486741278</v>
      </c>
      <c r="Y131">
        <v>24.65099631317635</v>
      </c>
      <c r="Z131">
        <v>16.585783368217037</v>
      </c>
      <c r="AA131">
        <v>6.4582956684907487</v>
      </c>
      <c r="AB131">
        <v>4.8202855850601196</v>
      </c>
      <c r="AC131">
        <v>4.4213002286837906</v>
      </c>
      <c r="AD131">
        <v>3.98543544625214</v>
      </c>
      <c r="AE131">
        <v>4.9671801095668116</v>
      </c>
      <c r="AF131">
        <v>4.8311078090571726</v>
      </c>
      <c r="AG131">
        <v>7.123308442418022</v>
      </c>
      <c r="AH131">
        <v>6.0651258465101705</v>
      </c>
      <c r="AI131">
        <v>10.087465738089804</v>
      </c>
      <c r="AJ131">
        <v>9.1410332757702264</v>
      </c>
      <c r="AK131">
        <v>7.7779641230706602</v>
      </c>
      <c r="AL131">
        <v>6.2545228237659245</v>
      </c>
      <c r="AM131">
        <v>8.1589586516405745</v>
      </c>
      <c r="AN131">
        <v>7.0245616556598094</v>
      </c>
      <c r="AO131">
        <v>4.1106747645405903</v>
      </c>
      <c r="AP131">
        <v>4.003285762645433</v>
      </c>
      <c r="AQ131">
        <v>4.4759231761170923</v>
      </c>
      <c r="AR131">
        <v>-1.2298353902398844</v>
      </c>
      <c r="AS131">
        <v>1.0217650054873673</v>
      </c>
      <c r="AT131">
        <v>3.4784991471607611</v>
      </c>
      <c r="AU131">
        <v>3.0331396462807305</v>
      </c>
      <c r="AV131">
        <v>3.4499934626881554</v>
      </c>
      <c r="AW131">
        <v>3.1278802877273506</v>
      </c>
      <c r="AX131">
        <v>1.0414014916489975</v>
      </c>
      <c r="AY131">
        <v>-0.22319561244255226</v>
      </c>
      <c r="AZ131">
        <v>2.419195944278357</v>
      </c>
      <c r="BA131">
        <v>2.8263023010858035</v>
      </c>
      <c r="BB131">
        <v>3.6086441257284321</v>
      </c>
      <c r="BC131">
        <v>2.7374968372649136</v>
      </c>
      <c r="BD131">
        <v>1.2818638059200964</v>
      </c>
      <c r="BE131">
        <v>1.2518081696316017</v>
      </c>
      <c r="BF131">
        <v>1.0185438050527722</v>
      </c>
      <c r="BG131">
        <v>0.90689675061581454</v>
      </c>
      <c r="BH131">
        <v>3.1855959666495295</v>
      </c>
      <c r="BI131">
        <v>1.986038505453493</v>
      </c>
      <c r="BJ131">
        <v>2.2227813815284065</v>
      </c>
      <c r="BK131">
        <v>0.48294898310261658</v>
      </c>
      <c r="BL131">
        <v>-0.8393253081496681</v>
      </c>
      <c r="BM131">
        <v>1.5637468567534256</v>
      </c>
      <c r="BN131">
        <v>2.762931941447718</v>
      </c>
      <c r="BO131">
        <v>1.275522574092065</v>
      </c>
      <c r="BP131">
        <v>2.0640739616243167</v>
      </c>
    </row>
    <row r="132" spans="1:69" hidden="1" x14ac:dyDescent="0.2">
      <c r="A132" t="s">
        <v>325</v>
      </c>
      <c r="B132" t="s">
        <v>326</v>
      </c>
      <c r="C132" t="s">
        <v>71</v>
      </c>
      <c r="D132" t="s">
        <v>72</v>
      </c>
      <c r="P132">
        <v>25.779479462278232</v>
      </c>
      <c r="Q132">
        <v>1.9711053689316742</v>
      </c>
      <c r="R132">
        <v>17.274708085627537</v>
      </c>
      <c r="S132">
        <v>173.19501661738684</v>
      </c>
      <c r="T132">
        <v>4.2458708594996608</v>
      </c>
      <c r="U132">
        <v>3.291107485104547</v>
      </c>
      <c r="V132">
        <v>9.7328621248669975</v>
      </c>
      <c r="W132">
        <v>-1.9535277679376719</v>
      </c>
      <c r="X132">
        <v>40.823432690751076</v>
      </c>
      <c r="Y132">
        <v>40.435384863558653</v>
      </c>
      <c r="Z132">
        <v>11.309103346867573</v>
      </c>
      <c r="AA132">
        <v>0.76671869906820689</v>
      </c>
      <c r="AB132">
        <v>-9.2763399746352775</v>
      </c>
      <c r="AC132">
        <v>0.34768520743672582</v>
      </c>
      <c r="AD132">
        <v>4.8670427300910148</v>
      </c>
      <c r="AE132">
        <v>-25.701234887157284</v>
      </c>
      <c r="AF132">
        <v>10.78248587879969</v>
      </c>
      <c r="AG132">
        <v>2.969340174103948</v>
      </c>
      <c r="AH132">
        <v>-1.721867164729062</v>
      </c>
      <c r="AI132">
        <v>0.71741452222853752</v>
      </c>
      <c r="AJ132">
        <v>-3.3046577588734749E-2</v>
      </c>
      <c r="AK132">
        <v>1.8340066221673936</v>
      </c>
      <c r="AL132">
        <v>-7.3864207794696455</v>
      </c>
      <c r="AM132">
        <v>-5.8704760273791834</v>
      </c>
      <c r="AN132">
        <v>4.8505059552028911</v>
      </c>
      <c r="AO132">
        <v>15.510237395298731</v>
      </c>
      <c r="AP132">
        <v>-4.71535484673295</v>
      </c>
      <c r="AQ132">
        <v>-17.156112460197562</v>
      </c>
      <c r="AR132">
        <v>18.089357387324114</v>
      </c>
      <c r="AS132">
        <v>20.521710179026044</v>
      </c>
      <c r="AT132">
        <v>-7.7187107750577155</v>
      </c>
      <c r="AU132">
        <v>5.148289824627355</v>
      </c>
      <c r="AV132">
        <v>4.9206501937494949</v>
      </c>
      <c r="AW132">
        <v>11.371267931134227</v>
      </c>
      <c r="AX132">
        <v>21.771011788769385</v>
      </c>
      <c r="AY132">
        <v>16.176362845409713</v>
      </c>
      <c r="AZ132">
        <v>4.3073622067359167</v>
      </c>
      <c r="BA132">
        <v>18.662942733791283</v>
      </c>
      <c r="BB132">
        <v>-17.166537445507331</v>
      </c>
      <c r="BC132">
        <v>11.103350581383935</v>
      </c>
      <c r="BD132">
        <v>17.227537244423786</v>
      </c>
      <c r="BE132">
        <v>7.4872520590998306</v>
      </c>
      <c r="BF132">
        <v>0.22302288836112893</v>
      </c>
      <c r="BG132">
        <v>-6.7579624870813859</v>
      </c>
      <c r="BH132">
        <v>-25.958330712986765</v>
      </c>
      <c r="BI132">
        <v>-6.8378431623767995</v>
      </c>
      <c r="BJ132">
        <v>16.230875203031061</v>
      </c>
      <c r="BK132">
        <v>11.299170108575439</v>
      </c>
      <c r="BL132">
        <v>-0.11044609938572592</v>
      </c>
      <c r="BM132">
        <v>-16.458362953587041</v>
      </c>
      <c r="BN132">
        <v>29.427285786364479</v>
      </c>
      <c r="BO132">
        <v>17.63352165869307</v>
      </c>
      <c r="BP132">
        <v>-8.0653606745730571</v>
      </c>
      <c r="BQ132">
        <v>-0.73271893214628392</v>
      </c>
    </row>
    <row r="133" spans="1:69" hidden="1" x14ac:dyDescent="0.2">
      <c r="A133" t="s">
        <v>327</v>
      </c>
      <c r="B133" t="s">
        <v>328</v>
      </c>
      <c r="C133" t="s">
        <v>71</v>
      </c>
      <c r="D133" t="s">
        <v>72</v>
      </c>
      <c r="F133">
        <v>3.1157291756695784</v>
      </c>
      <c r="G133">
        <v>2.9684150606891961</v>
      </c>
      <c r="H133">
        <v>2.9492956555293901</v>
      </c>
      <c r="I133">
        <v>5.7423583871758339</v>
      </c>
      <c r="J133">
        <v>2.7003875801681261</v>
      </c>
      <c r="K133">
        <v>3.6610668045652375</v>
      </c>
      <c r="L133">
        <v>3.1462219825836186</v>
      </c>
      <c r="M133">
        <v>2.3031203097673156</v>
      </c>
      <c r="N133">
        <v>3.3343124063336518</v>
      </c>
      <c r="O133">
        <v>4.2030682133230641</v>
      </c>
      <c r="P133">
        <v>5.0639036169399958</v>
      </c>
      <c r="Q133">
        <v>6.5392156785901676</v>
      </c>
      <c r="R133">
        <v>14.676270880540727</v>
      </c>
      <c r="S133">
        <v>21.791286075100416</v>
      </c>
      <c r="T133">
        <v>15.469143499776436</v>
      </c>
      <c r="U133">
        <v>10.434002466845314</v>
      </c>
      <c r="V133">
        <v>15.157945002907098</v>
      </c>
      <c r="W133">
        <v>12.303954746943361</v>
      </c>
      <c r="X133">
        <v>15.562407198171499</v>
      </c>
      <c r="Y133">
        <v>19.263197414290786</v>
      </c>
      <c r="Z133">
        <v>9.2979833953238469</v>
      </c>
      <c r="AA133">
        <v>7.0480536954705428</v>
      </c>
      <c r="AB133">
        <v>7.6229271800846519</v>
      </c>
      <c r="AC133">
        <v>15.256724758164886</v>
      </c>
      <c r="AD133">
        <v>14.376747028848797</v>
      </c>
      <c r="AE133">
        <v>12.660934755164114</v>
      </c>
      <c r="AF133">
        <v>9.753411964030974</v>
      </c>
      <c r="AG133">
        <v>11.85543730218329</v>
      </c>
      <c r="AH133">
        <v>11.81659288802382</v>
      </c>
      <c r="AI133">
        <v>25.062896684489338</v>
      </c>
      <c r="AJ133">
        <v>20.701348866450026</v>
      </c>
      <c r="AK133">
        <v>11.030294618804483</v>
      </c>
      <c r="AL133">
        <v>11.564324653494502</v>
      </c>
      <c r="AM133">
        <v>12.147824322637398</v>
      </c>
      <c r="AN133">
        <v>11.00273062945471</v>
      </c>
      <c r="AO133">
        <v>9.2534086985358712</v>
      </c>
      <c r="AP133">
        <v>6.3556082035334143</v>
      </c>
      <c r="AQ133">
        <v>5.9421986797096196</v>
      </c>
      <c r="AR133">
        <v>3.8035594894371272</v>
      </c>
      <c r="AS133">
        <v>6.2180899045343097</v>
      </c>
      <c r="AT133">
        <v>6.2961194996975181</v>
      </c>
      <c r="AU133">
        <v>5.3171320176619048</v>
      </c>
      <c r="AV133">
        <v>5.5454089820331305</v>
      </c>
      <c r="AW133">
        <v>6.8675086292111871</v>
      </c>
      <c r="AX133">
        <v>5.9128901931767075</v>
      </c>
      <c r="AY133">
        <v>6.7092973917164827</v>
      </c>
      <c r="AZ133">
        <v>6.4321196788073536</v>
      </c>
      <c r="BA133">
        <v>8.313140877308733</v>
      </c>
      <c r="BB133">
        <v>3.6240700959328009</v>
      </c>
      <c r="BC133">
        <v>5.3860653879626028</v>
      </c>
      <c r="BD133">
        <v>6.1700732638781517</v>
      </c>
      <c r="BE133">
        <v>4.2341824624658528</v>
      </c>
      <c r="BF133">
        <v>3.1407722988261426</v>
      </c>
      <c r="BG133">
        <v>2.7003263082676696</v>
      </c>
      <c r="BH133">
        <v>2.9919104803266379</v>
      </c>
      <c r="BI133">
        <v>3.6217153135890499</v>
      </c>
      <c r="BJ133">
        <v>3.7894342208186487</v>
      </c>
      <c r="BK133">
        <v>2.4678369342436284</v>
      </c>
      <c r="BL133">
        <v>3.3431369161060118</v>
      </c>
      <c r="BM133">
        <v>3.1371521589296449</v>
      </c>
      <c r="BN133">
        <v>5.9133807956548878</v>
      </c>
      <c r="BO133">
        <v>8.0032204198867234</v>
      </c>
      <c r="BP133">
        <v>5.9173498131741553</v>
      </c>
      <c r="BQ133">
        <v>4.9354086925790028</v>
      </c>
    </row>
    <row r="134" spans="1:69" hidden="1" x14ac:dyDescent="0.2">
      <c r="A134" t="s">
        <v>329</v>
      </c>
      <c r="B134" t="s">
        <v>330</v>
      </c>
      <c r="C134" t="s">
        <v>71</v>
      </c>
      <c r="D134" t="s">
        <v>72</v>
      </c>
      <c r="AD134">
        <v>64.814687785401532</v>
      </c>
      <c r="AE134">
        <v>51.115458737466582</v>
      </c>
      <c r="AF134">
        <v>14.427716704621901</v>
      </c>
      <c r="AG134">
        <v>25.849148665889345</v>
      </c>
      <c r="AH134">
        <v>55.266521123522523</v>
      </c>
      <c r="AI134">
        <v>37.907380761806962</v>
      </c>
      <c r="AJ134">
        <v>12.971760392070465</v>
      </c>
      <c r="AK134">
        <v>5.9938414767774333</v>
      </c>
      <c r="AL134">
        <v>11.182579345299231</v>
      </c>
      <c r="AM134">
        <v>7.70059550868136</v>
      </c>
      <c r="AN134">
        <v>19.685364419694665</v>
      </c>
      <c r="AO134">
        <v>13.725212255633608</v>
      </c>
      <c r="AP134">
        <v>19.3528167277303</v>
      </c>
      <c r="AQ134">
        <v>84.504458900736694</v>
      </c>
      <c r="AR134">
        <v>127.97396639694014</v>
      </c>
      <c r="AS134">
        <v>24.79777660956573</v>
      </c>
      <c r="AT134">
        <v>8.8680738036521092</v>
      </c>
      <c r="AU134">
        <v>6.3184647409895405</v>
      </c>
      <c r="AV134">
        <v>13.450089840917983</v>
      </c>
      <c r="AW134">
        <v>10.690428543700676</v>
      </c>
      <c r="AX134">
        <v>8.640322480951184</v>
      </c>
      <c r="AY134">
        <v>10.805101226387208</v>
      </c>
      <c r="AZ134">
        <v>7.4382860046945325</v>
      </c>
      <c r="BA134">
        <v>8.8634506379722069</v>
      </c>
      <c r="BB134">
        <v>-2.9320735318440256</v>
      </c>
      <c r="BC134">
        <v>9.1965711113867457</v>
      </c>
      <c r="BD134">
        <v>10.468717599392875</v>
      </c>
      <c r="BE134">
        <v>7.5288593049568817</v>
      </c>
      <c r="BF134">
        <v>6.4739720834333667</v>
      </c>
      <c r="BG134">
        <v>5.7265591817456425</v>
      </c>
      <c r="BH134">
        <v>2.3484960068591789</v>
      </c>
      <c r="BI134">
        <v>3.0223064425633765</v>
      </c>
      <c r="BJ134">
        <v>1.8520967612112287</v>
      </c>
      <c r="BK134">
        <v>1.9198891939175411</v>
      </c>
      <c r="BL134">
        <v>1.1974239210929198</v>
      </c>
      <c r="BM134">
        <v>5.0345041254451672</v>
      </c>
      <c r="BN134">
        <v>3.7134483668755252</v>
      </c>
      <c r="BO134">
        <v>15.773945922601101</v>
      </c>
      <c r="BP134">
        <v>24.421720206669264</v>
      </c>
      <c r="BQ134">
        <v>13.90879129950666</v>
      </c>
    </row>
    <row r="135" spans="1:69" hidden="1" x14ac:dyDescent="0.2">
      <c r="A135" t="s">
        <v>331</v>
      </c>
      <c r="B135" t="s">
        <v>332</v>
      </c>
      <c r="C135" t="s">
        <v>71</v>
      </c>
      <c r="D135" t="s">
        <v>72</v>
      </c>
      <c r="AH135">
        <v>72.996455521747237</v>
      </c>
      <c r="AI135">
        <v>15.501848385603353</v>
      </c>
      <c r="AJ135">
        <v>47.655659859566498</v>
      </c>
      <c r="AK135">
        <v>97.433819908685393</v>
      </c>
      <c r="AL135">
        <v>24.743017813806063</v>
      </c>
      <c r="AM135">
        <v>7.8737170604255624</v>
      </c>
      <c r="AN135">
        <v>10.679005567444506</v>
      </c>
      <c r="AO135">
        <v>1.738109736186459</v>
      </c>
      <c r="AP135">
        <v>11.546767211743173</v>
      </c>
      <c r="AQ135">
        <v>4.017918264508495</v>
      </c>
      <c r="AR135">
        <v>0.81285046545578155</v>
      </c>
      <c r="AS135">
        <v>-2.0879831473281172</v>
      </c>
      <c r="AT135">
        <v>-1.5251515455206857</v>
      </c>
      <c r="AU135">
        <v>4.9211879198729918</v>
      </c>
      <c r="AV135">
        <v>1.5812524889670811</v>
      </c>
      <c r="AW135">
        <v>-1.234661632225496</v>
      </c>
      <c r="AX135">
        <v>-1.0622070563594548</v>
      </c>
      <c r="AY135">
        <v>0.88073758637526112</v>
      </c>
      <c r="AZ135">
        <v>3.1329237227215856</v>
      </c>
      <c r="BA135">
        <v>7.5332839062505457</v>
      </c>
      <c r="BB135">
        <v>10.284541002084708</v>
      </c>
      <c r="BC135">
        <v>0.57860672326313534</v>
      </c>
      <c r="BD135">
        <v>2.9650806208397569</v>
      </c>
      <c r="BE135">
        <v>7.4860518754923362</v>
      </c>
      <c r="BF135">
        <v>2.5784510922661781</v>
      </c>
      <c r="BG135">
        <v>0.10527862325946558</v>
      </c>
      <c r="BH135">
        <v>3.3357844490219151</v>
      </c>
      <c r="BI135">
        <v>0.8712952021763698</v>
      </c>
      <c r="BJ135">
        <v>2.7485363221938997</v>
      </c>
      <c r="BK135">
        <v>5.5224871010746597</v>
      </c>
      <c r="BL135">
        <v>4.0948231557302393</v>
      </c>
      <c r="BM135">
        <v>85.542042340020572</v>
      </c>
      <c r="BN135">
        <v>150.00071680373662</v>
      </c>
      <c r="BO135">
        <v>112.14947899881901</v>
      </c>
      <c r="BP135">
        <v>202.90770348572283</v>
      </c>
    </row>
    <row r="136" spans="1:69" hidden="1" x14ac:dyDescent="0.2">
      <c r="A136" t="s">
        <v>333</v>
      </c>
      <c r="B136" t="s">
        <v>334</v>
      </c>
      <c r="C136" t="s">
        <v>71</v>
      </c>
      <c r="D136" t="s">
        <v>72</v>
      </c>
      <c r="F136">
        <v>-5.751027008120559</v>
      </c>
      <c r="G136">
        <v>2.9335123458536856</v>
      </c>
      <c r="H136">
        <v>2.0404974950855035</v>
      </c>
      <c r="I136">
        <v>3.9819204901743461</v>
      </c>
      <c r="J136">
        <v>-7.1175242793131588E-2</v>
      </c>
      <c r="K136">
        <v>-0.99646487152946861</v>
      </c>
      <c r="L136">
        <v>2.8386033169553571E-2</v>
      </c>
      <c r="M136">
        <v>1.2244337316295315</v>
      </c>
      <c r="N136">
        <v>3.3552891232070579</v>
      </c>
      <c r="O136">
        <v>-1.3180681682554081</v>
      </c>
      <c r="P136">
        <v>0.76587390158159963</v>
      </c>
      <c r="Q136">
        <v>3.4899796539606029</v>
      </c>
      <c r="R136">
        <v>7.5527981575929175</v>
      </c>
      <c r="S136">
        <v>20.128523683563287</v>
      </c>
      <c r="T136">
        <v>22.865960538309508</v>
      </c>
      <c r="U136">
        <v>-1.8982737775572929</v>
      </c>
      <c r="V136">
        <v>11.030222198371845</v>
      </c>
      <c r="W136">
        <v>1.6750379861757381</v>
      </c>
      <c r="X136">
        <v>9.9115911386499818</v>
      </c>
      <c r="Y136">
        <v>9.4795242797785448</v>
      </c>
      <c r="Z136">
        <v>1.2034273035673948</v>
      </c>
      <c r="AA136">
        <v>4.602612502570949</v>
      </c>
      <c r="AB136">
        <v>-2.8518532860636014</v>
      </c>
      <c r="AC136">
        <v>5.267153273128983</v>
      </c>
      <c r="AD136">
        <v>1.1854154046406506</v>
      </c>
      <c r="AE136">
        <v>0.47289254133806935</v>
      </c>
      <c r="AF136">
        <v>16.847056917632088</v>
      </c>
      <c r="AG136">
        <v>8.9579518663301769</v>
      </c>
      <c r="AH136">
        <v>3.2700893977343384</v>
      </c>
      <c r="AI136">
        <v>-0.16733370907799383</v>
      </c>
      <c r="AJ136">
        <v>5.5446495000873455</v>
      </c>
      <c r="AK136">
        <v>-1.0632232240360082</v>
      </c>
      <c r="AL136">
        <v>7.0761074799137162</v>
      </c>
      <c r="AM136">
        <v>5.3443562414402095</v>
      </c>
      <c r="AN136">
        <v>6.5106810869614264</v>
      </c>
      <c r="AO136">
        <v>5.4655625338095177</v>
      </c>
      <c r="AP136">
        <v>-10.008826322699022</v>
      </c>
      <c r="AQ136">
        <v>-6.6666992764605482</v>
      </c>
      <c r="AR136">
        <v>0.91775245771124503</v>
      </c>
      <c r="AS136">
        <v>53.8122567933531</v>
      </c>
      <c r="AT136">
        <v>0.72002573556133598</v>
      </c>
      <c r="AU136">
        <v>-1.3927282142399378</v>
      </c>
      <c r="AV136">
        <v>15.511491594054334</v>
      </c>
      <c r="AW136">
        <v>16.858278125499297</v>
      </c>
      <c r="AX136">
        <v>0.49001050060310547</v>
      </c>
      <c r="AY136">
        <v>9.1348816298163342</v>
      </c>
      <c r="AZ136">
        <v>12.017647138796605</v>
      </c>
      <c r="BA136">
        <v>17.326345551449137</v>
      </c>
      <c r="BB136">
        <v>-2.7228431411051304</v>
      </c>
      <c r="BC136">
        <v>6.5120036890566837</v>
      </c>
      <c r="BD136">
        <v>10.923445358978242</v>
      </c>
      <c r="BE136">
        <v>7.7971571636592927</v>
      </c>
      <c r="BF136">
        <v>4.715308132832547</v>
      </c>
      <c r="BG136">
        <v>0.8179213267644343</v>
      </c>
      <c r="BH136">
        <v>6.271342555808701E-2</v>
      </c>
      <c r="BI136">
        <v>6.9729569715392756</v>
      </c>
      <c r="BJ136">
        <v>-2.6179341529938682</v>
      </c>
      <c r="BK136">
        <v>-0.20987279738781695</v>
      </c>
      <c r="BL136">
        <v>-0.56042663404490156</v>
      </c>
      <c r="BM136">
        <v>-1.3806018898062717</v>
      </c>
      <c r="BN136">
        <v>5.354276044674549</v>
      </c>
      <c r="BO136">
        <v>8.6662085408153473</v>
      </c>
      <c r="BP136">
        <v>4.8121348688660959</v>
      </c>
      <c r="BQ136">
        <v>3.2516900260857824</v>
      </c>
    </row>
    <row r="137" spans="1:69" hidden="1" x14ac:dyDescent="0.2">
      <c r="A137" t="s">
        <v>335</v>
      </c>
      <c r="B137" t="s">
        <v>336</v>
      </c>
      <c r="C137" t="s">
        <v>71</v>
      </c>
      <c r="D137" t="s">
        <v>72</v>
      </c>
      <c r="F137">
        <v>0.56988938661311295</v>
      </c>
      <c r="G137">
        <v>5.3446038203175021</v>
      </c>
      <c r="H137">
        <v>6.6413405190743049</v>
      </c>
      <c r="I137">
        <v>3.6214489060585038</v>
      </c>
      <c r="J137">
        <v>5.0027531156919594</v>
      </c>
      <c r="K137">
        <v>8.0293810924405165</v>
      </c>
      <c r="L137">
        <v>6.1351817831408795</v>
      </c>
      <c r="M137">
        <v>5.483476499140977</v>
      </c>
      <c r="N137">
        <v>0.60623500980257461</v>
      </c>
      <c r="O137">
        <v>8.2000409874652291E-2</v>
      </c>
      <c r="P137">
        <v>20.403699316545271</v>
      </c>
      <c r="Q137">
        <v>1.3091485893002215</v>
      </c>
      <c r="R137">
        <v>22.520212657637856</v>
      </c>
      <c r="S137">
        <v>41.479476203023722</v>
      </c>
      <c r="T137">
        <v>-6.4269747164516673</v>
      </c>
      <c r="U137">
        <v>5.6427438221394084</v>
      </c>
      <c r="V137">
        <v>7.8929734250364731</v>
      </c>
      <c r="W137">
        <v>-4.4589220889378822</v>
      </c>
      <c r="X137">
        <v>26.605116183749061</v>
      </c>
      <c r="Y137">
        <v>33.202167021991585</v>
      </c>
      <c r="Z137">
        <v>9.9099700329855267</v>
      </c>
      <c r="AA137">
        <v>-9.7199467738246881</v>
      </c>
      <c r="AB137">
        <v>0.8352205761990632</v>
      </c>
      <c r="AC137">
        <v>-6.5040691552821386</v>
      </c>
      <c r="AD137">
        <v>-1.2525731906026181</v>
      </c>
      <c r="AE137">
        <v>-7.8379810087648423</v>
      </c>
      <c r="AF137">
        <v>20.905949742177825</v>
      </c>
      <c r="AG137">
        <v>-17.775266563833668</v>
      </c>
      <c r="AH137">
        <v>1.0578583019488406</v>
      </c>
      <c r="AI137">
        <v>4.7025139047134417</v>
      </c>
      <c r="AJ137">
        <v>-5.1273339010210606</v>
      </c>
      <c r="AK137">
        <v>9.1971107448395344</v>
      </c>
      <c r="AL137">
        <v>1.6341425096272388</v>
      </c>
      <c r="AM137">
        <v>4.7773256999434039</v>
      </c>
      <c r="AN137">
        <v>9.5868816458019523</v>
      </c>
      <c r="AO137">
        <v>11.661940443326586</v>
      </c>
      <c r="AP137">
        <v>10.410509039362623</v>
      </c>
      <c r="AQ137">
        <v>-6.6273402644565493</v>
      </c>
      <c r="AR137">
        <v>29.978359862009285</v>
      </c>
      <c r="AS137">
        <v>13.306862300266204</v>
      </c>
      <c r="AT137">
        <v>7.1848746565277963</v>
      </c>
      <c r="AU137">
        <v>27.247302775381968</v>
      </c>
      <c r="AV137">
        <v>14.36256527297472</v>
      </c>
      <c r="AW137">
        <v>22.605342495158155</v>
      </c>
      <c r="AX137">
        <v>28.568503997206307</v>
      </c>
      <c r="AY137">
        <v>19.6795130437458</v>
      </c>
      <c r="AZ137">
        <v>2.4393861682751066</v>
      </c>
      <c r="BA137">
        <v>23.709371496227163</v>
      </c>
      <c r="BB137">
        <v>-24.847267747377572</v>
      </c>
      <c r="BC137">
        <v>19.278545342938955</v>
      </c>
      <c r="BD137">
        <v>24.342753351190538</v>
      </c>
      <c r="BE137">
        <v>5.9819305037218271</v>
      </c>
      <c r="BF137">
        <v>8.5392342268278298E-2</v>
      </c>
      <c r="BG137">
        <v>-1.0066040166524175</v>
      </c>
      <c r="BH137">
        <v>-7.040707271953778</v>
      </c>
      <c r="BI137">
        <v>4.6923143181040388</v>
      </c>
      <c r="BJ137">
        <v>1.806663821783161</v>
      </c>
      <c r="BK137">
        <v>3.5975738926426857</v>
      </c>
      <c r="BL137">
        <v>4.1756726423653561</v>
      </c>
      <c r="BM137">
        <v>-4.7541238168380175</v>
      </c>
      <c r="BN137">
        <v>90.405606412238029</v>
      </c>
      <c r="BO137">
        <v>42.697101998590369</v>
      </c>
      <c r="BP137">
        <v>-5.341469957359763</v>
      </c>
      <c r="BQ137">
        <v>4.462598779110678</v>
      </c>
    </row>
    <row r="138" spans="1:69" hidden="1" x14ac:dyDescent="0.2">
      <c r="A138" t="s">
        <v>337</v>
      </c>
      <c r="B138" t="s">
        <v>338</v>
      </c>
      <c r="C138" t="s">
        <v>71</v>
      </c>
      <c r="D138" t="s">
        <v>72</v>
      </c>
      <c r="Z138">
        <v>7.3559994399015096</v>
      </c>
      <c r="AA138">
        <v>-7.6412061203706685</v>
      </c>
      <c r="AB138">
        <v>2.3906581335902217</v>
      </c>
      <c r="AC138">
        <v>18.986525315055644</v>
      </c>
      <c r="AD138">
        <v>4.4508684382002883</v>
      </c>
      <c r="AE138">
        <v>4.4835141501844902</v>
      </c>
      <c r="AF138">
        <v>6.2870961930001386</v>
      </c>
      <c r="AG138">
        <v>0.43789265309904124</v>
      </c>
      <c r="AH138">
        <v>3.9409233608861598</v>
      </c>
      <c r="AI138">
        <v>8.3822170972234886</v>
      </c>
      <c r="AJ138">
        <v>5.4823203407892152</v>
      </c>
      <c r="AK138">
        <v>1.7451837771113503</v>
      </c>
      <c r="AL138">
        <v>1.0043494714950612</v>
      </c>
      <c r="AM138">
        <v>2.5787140273874911</v>
      </c>
      <c r="AN138">
        <v>5.0651440594443358</v>
      </c>
      <c r="AO138">
        <v>0.46196884905545232</v>
      </c>
      <c r="AP138">
        <v>2.8737017854908515</v>
      </c>
      <c r="AQ138">
        <v>2.4302378745561413</v>
      </c>
      <c r="AR138">
        <v>2.3325322513429825</v>
      </c>
      <c r="AS138">
        <v>1.1158340503708075</v>
      </c>
      <c r="AT138">
        <v>-0.91214072534330626</v>
      </c>
      <c r="AU138">
        <v>0.41171045540752971</v>
      </c>
      <c r="AV138">
        <v>5.2245173038942596</v>
      </c>
      <c r="AW138">
        <v>0.7081348284097686</v>
      </c>
      <c r="AX138">
        <v>6.8969365161184442</v>
      </c>
      <c r="AY138">
        <v>5.1756135078419732</v>
      </c>
      <c r="AZ138">
        <v>3.5909000838468614</v>
      </c>
      <c r="BA138">
        <v>2.5327735243088796</v>
      </c>
      <c r="BB138">
        <v>0.31843653224615309</v>
      </c>
      <c r="BC138">
        <v>5.4228194323074064</v>
      </c>
      <c r="BD138">
        <v>1.412404958305018</v>
      </c>
      <c r="BE138">
        <v>2.0133687076049824</v>
      </c>
      <c r="BF138">
        <v>5.8154799537402937</v>
      </c>
      <c r="BG138">
        <v>3.9669122302501023</v>
      </c>
      <c r="BH138">
        <v>3.2366568977983974</v>
      </c>
      <c r="BI138">
        <v>-5.6691659495115232E-2</v>
      </c>
      <c r="BJ138">
        <v>3.4583928297522419</v>
      </c>
      <c r="BK138">
        <v>0.23146946975145966</v>
      </c>
      <c r="BL138">
        <v>2.3856189633361851</v>
      </c>
      <c r="BM138">
        <v>-5.4018714700833215</v>
      </c>
      <c r="BN138">
        <v>11.595556160629727</v>
      </c>
      <c r="BO138">
        <v>4.2190794244876741</v>
      </c>
      <c r="BP138">
        <v>1.4901152038576697</v>
      </c>
      <c r="BQ138">
        <v>0.9632775378152445</v>
      </c>
    </row>
    <row r="139" spans="1:69" hidden="1" x14ac:dyDescent="0.2">
      <c r="A139" t="s">
        <v>339</v>
      </c>
      <c r="B139" t="s">
        <v>340</v>
      </c>
      <c r="C139" t="s">
        <v>71</v>
      </c>
      <c r="D139" t="s">
        <v>72</v>
      </c>
      <c r="F139">
        <v>2.7436801152614194</v>
      </c>
      <c r="G139">
        <v>3.0301826326870582</v>
      </c>
      <c r="H139">
        <v>2.9933378009678719</v>
      </c>
      <c r="I139">
        <v>3.3677722876573455</v>
      </c>
      <c r="J139">
        <v>2.3623121208141455</v>
      </c>
      <c r="K139">
        <v>3.5936408271235507</v>
      </c>
      <c r="L139">
        <v>3.2996803912410684</v>
      </c>
      <c r="M139">
        <v>3.6715761525883295</v>
      </c>
      <c r="N139">
        <v>3.5928369462426062</v>
      </c>
      <c r="O139">
        <v>4.2728669075012462</v>
      </c>
      <c r="P139">
        <v>5.38437111275978</v>
      </c>
      <c r="Q139">
        <v>6.7866589009426264</v>
      </c>
      <c r="R139">
        <v>14.676270880540727</v>
      </c>
      <c r="S139">
        <v>23.21302672283305</v>
      </c>
      <c r="T139">
        <v>15.469143499776436</v>
      </c>
      <c r="U139">
        <v>8.5989208742604006</v>
      </c>
      <c r="V139">
        <v>12.54061842900343</v>
      </c>
      <c r="W139">
        <v>8.8199622906938231</v>
      </c>
      <c r="X139">
        <v>14.614460948118534</v>
      </c>
      <c r="Y139">
        <v>18.829580408312225</v>
      </c>
      <c r="Z139">
        <v>10.733954585387423</v>
      </c>
      <c r="AA139">
        <v>6.9495463073496424</v>
      </c>
      <c r="AB139">
        <v>7.0279365686591433</v>
      </c>
      <c r="AC139">
        <v>10.068879418557856</v>
      </c>
      <c r="AD139">
        <v>9.3609220601686403</v>
      </c>
      <c r="AE139">
        <v>7.2623172769579085</v>
      </c>
      <c r="AF139">
        <v>8.6842293524790932</v>
      </c>
      <c r="AG139">
        <v>11.655297949067872</v>
      </c>
      <c r="AH139">
        <v>10.908896874544595</v>
      </c>
      <c r="AI139">
        <v>16.267941983021842</v>
      </c>
      <c r="AJ139">
        <v>14.610258813735683</v>
      </c>
      <c r="AK139">
        <v>5.5526011845879992</v>
      </c>
      <c r="AL139">
        <v>8.8117850226041838</v>
      </c>
      <c r="AM139">
        <v>11.72227820328051</v>
      </c>
      <c r="AN139">
        <v>10.508667229749122</v>
      </c>
      <c r="AO139">
        <v>3.9115527552243492</v>
      </c>
      <c r="AP139">
        <v>3.7042377527197345</v>
      </c>
      <c r="AQ139">
        <v>5.3710903574295799</v>
      </c>
      <c r="AR139">
        <v>3.8180230121107002</v>
      </c>
      <c r="AS139">
        <v>4.5600434866002786</v>
      </c>
      <c r="AT139">
        <v>3.8051844270832618</v>
      </c>
      <c r="AU139">
        <v>3.7182475900850989</v>
      </c>
      <c r="AV139">
        <v>4.7185667294485683</v>
      </c>
      <c r="AW139">
        <v>6.4519838516075936</v>
      </c>
      <c r="AX139">
        <v>5.9407976302192793</v>
      </c>
      <c r="AY139">
        <v>6.1071543587712256</v>
      </c>
      <c r="AZ139">
        <v>6.2260846362561324</v>
      </c>
      <c r="BA139">
        <v>7.4764727360633287</v>
      </c>
      <c r="BB139">
        <v>3.4264799849212295</v>
      </c>
      <c r="BC139">
        <v>4.6658723387467589</v>
      </c>
      <c r="BD139">
        <v>5.2917069668372534</v>
      </c>
      <c r="BE139">
        <v>3.5982212444110218</v>
      </c>
      <c r="BF139">
        <v>2.5216739259099725</v>
      </c>
      <c r="BG139">
        <v>2.5986302844995777</v>
      </c>
      <c r="BH139">
        <v>3.0043095168452254</v>
      </c>
      <c r="BI139">
        <v>2.1843981606476177</v>
      </c>
      <c r="BJ139">
        <v>3.0329103093559127</v>
      </c>
      <c r="BK139">
        <v>1.9602481984654929</v>
      </c>
      <c r="BL139">
        <v>2.6259005074320072</v>
      </c>
      <c r="BM139">
        <v>1.4817246203755303</v>
      </c>
      <c r="BN139">
        <v>4.1420746859935491</v>
      </c>
      <c r="BO139">
        <v>6.3720509105757515</v>
      </c>
      <c r="BP139">
        <v>3.5529213175005552</v>
      </c>
      <c r="BQ139">
        <v>3.7549964931719018</v>
      </c>
    </row>
    <row r="140" spans="1:69" hidden="1" x14ac:dyDescent="0.2">
      <c r="A140" t="s">
        <v>341</v>
      </c>
      <c r="B140" t="s">
        <v>342</v>
      </c>
      <c r="C140" t="s">
        <v>71</v>
      </c>
      <c r="D140" t="s">
        <v>72</v>
      </c>
      <c r="F140">
        <v>2.5782887303681647</v>
      </c>
      <c r="G140">
        <v>1.5638173186199609</v>
      </c>
      <c r="H140">
        <v>3.6233919227409075</v>
      </c>
      <c r="I140">
        <v>3.1691343276808723</v>
      </c>
      <c r="J140">
        <v>3.888692013259984</v>
      </c>
      <c r="K140">
        <v>4.3092449926536815</v>
      </c>
      <c r="L140">
        <v>0.67372470628069436</v>
      </c>
      <c r="M140">
        <v>1.8621542647669358</v>
      </c>
      <c r="N140">
        <v>5.1002204153431876</v>
      </c>
      <c r="O140">
        <v>3.6900239135796156</v>
      </c>
      <c r="P140">
        <v>3.0869922294363334</v>
      </c>
      <c r="Q140">
        <v>5.1010466452968402</v>
      </c>
      <c r="R140">
        <v>8.8242322380153979</v>
      </c>
      <c r="S140">
        <v>14.332562966308558</v>
      </c>
      <c r="T140">
        <v>12.657002025733462</v>
      </c>
      <c r="U140">
        <v>8.2841838424377414</v>
      </c>
      <c r="V140">
        <v>8.8963503630011189</v>
      </c>
      <c r="W140">
        <v>9.1599101928721893</v>
      </c>
      <c r="X140">
        <v>10.037571811689162</v>
      </c>
      <c r="Y140">
        <v>10.187819857319582</v>
      </c>
      <c r="Z140">
        <v>8.6983122479091151</v>
      </c>
      <c r="AA140">
        <v>9.6632584316248256</v>
      </c>
      <c r="AB140">
        <v>10.960140815036802</v>
      </c>
      <c r="AC140">
        <v>10.316538769673748</v>
      </c>
      <c r="AD140">
        <v>10.244925788270677</v>
      </c>
      <c r="AE140">
        <v>7.3922763044852502</v>
      </c>
      <c r="AF140">
        <v>11.494256945118536</v>
      </c>
      <c r="AG140">
        <v>9.7061494135055426</v>
      </c>
      <c r="AH140">
        <v>9.8926649431966212</v>
      </c>
      <c r="AI140">
        <v>11.964533392046377</v>
      </c>
      <c r="AJ140">
        <v>12.971760392070465</v>
      </c>
      <c r="AK140">
        <v>13.607707591541754</v>
      </c>
      <c r="AL140">
        <v>11.182579345299231</v>
      </c>
      <c r="AM140">
        <v>22.214367543041377</v>
      </c>
      <c r="AN140">
        <v>12.706369018741185</v>
      </c>
      <c r="AO140">
        <v>10.921415751888048</v>
      </c>
      <c r="AP140">
        <v>6.0050758324123166</v>
      </c>
      <c r="AQ140">
        <v>7.9403160307083454</v>
      </c>
      <c r="AR140">
        <v>7.1891429470469603</v>
      </c>
      <c r="AS140">
        <v>6.3515867279691633</v>
      </c>
      <c r="AT140">
        <v>6.6963085013543662</v>
      </c>
      <c r="AU140">
        <v>5.2099466383829025</v>
      </c>
      <c r="AV140">
        <v>8.1127117581982588</v>
      </c>
      <c r="AW140">
        <v>8.5515949205100767</v>
      </c>
      <c r="AX140">
        <v>8.3007945073842393</v>
      </c>
      <c r="AY140">
        <v>7.2798952859746606</v>
      </c>
      <c r="AZ140">
        <v>7.3787628610418992</v>
      </c>
      <c r="BA140">
        <v>9.8159512311021544</v>
      </c>
      <c r="BB140">
        <v>2.4055048704277198</v>
      </c>
      <c r="BC140">
        <v>6.2649988693231933</v>
      </c>
      <c r="BD140">
        <v>8.9992906425175647</v>
      </c>
      <c r="BE140">
        <v>5.89315892847344</v>
      </c>
      <c r="BF140">
        <v>4.3780708431065136</v>
      </c>
      <c r="BG140">
        <v>3.6155801756209698</v>
      </c>
      <c r="BH140">
        <v>3.7645964711371747</v>
      </c>
      <c r="BI140">
        <v>3.8482816745953059</v>
      </c>
      <c r="BJ140">
        <v>3.4504509031099388</v>
      </c>
      <c r="BK140">
        <v>4.1124253558292949</v>
      </c>
      <c r="BL140">
        <v>3.6167960104711909</v>
      </c>
      <c r="BM140">
        <v>3.8713064782627669</v>
      </c>
      <c r="BN140">
        <v>6.0881528117631589</v>
      </c>
      <c r="BO140">
        <v>7.755870591780905</v>
      </c>
      <c r="BP140">
        <v>5.9139109907669649</v>
      </c>
      <c r="BQ140">
        <v>5.3780240356639339</v>
      </c>
    </row>
    <row r="141" spans="1:69" hidden="1" x14ac:dyDescent="0.2">
      <c r="A141" t="s">
        <v>343</v>
      </c>
      <c r="B141" t="s">
        <v>344</v>
      </c>
      <c r="C141" t="s">
        <v>71</v>
      </c>
      <c r="D141" t="s">
        <v>72</v>
      </c>
      <c r="F141">
        <v>4.0144345555156136</v>
      </c>
      <c r="G141">
        <v>1.125028298337682</v>
      </c>
      <c r="H141">
        <v>4.6808125007890808</v>
      </c>
      <c r="I141">
        <v>3.7269776219936546</v>
      </c>
      <c r="J141">
        <v>4.6920935270230899</v>
      </c>
      <c r="K141">
        <v>4.9658528684811643</v>
      </c>
      <c r="L141">
        <v>0.67372470628069436</v>
      </c>
      <c r="M141">
        <v>2.1995535416071021</v>
      </c>
      <c r="N141">
        <v>5.1002204153431876</v>
      </c>
      <c r="O141">
        <v>4.8376957531734561</v>
      </c>
      <c r="P141">
        <v>3.588168432693422</v>
      </c>
      <c r="Q141">
        <v>4.644237089154629</v>
      </c>
      <c r="R141">
        <v>7.5527981575929175</v>
      </c>
      <c r="S141">
        <v>15.439086038382882</v>
      </c>
      <c r="T141">
        <v>11.72219380099078</v>
      </c>
      <c r="U141">
        <v>8.4495254785245066</v>
      </c>
      <c r="V141">
        <v>13.511466300598272</v>
      </c>
      <c r="W141">
        <v>9.2283937020651621</v>
      </c>
      <c r="X141">
        <v>10.926633977119522</v>
      </c>
      <c r="Y141">
        <v>14.501653026748755</v>
      </c>
      <c r="Z141">
        <v>12.073706813912501</v>
      </c>
      <c r="AA141">
        <v>11.576859042434762</v>
      </c>
      <c r="AB141">
        <v>11.1028813560158</v>
      </c>
      <c r="AC141">
        <v>12.772054839507831</v>
      </c>
      <c r="AD141">
        <v>8.9308300055906074</v>
      </c>
      <c r="AE141">
        <v>13.509284194168487</v>
      </c>
      <c r="AF141">
        <v>16.723866652047235</v>
      </c>
      <c r="AG141">
        <v>9.7061494135055426</v>
      </c>
      <c r="AH141">
        <v>13.73657242070378</v>
      </c>
      <c r="AI141">
        <v>11.964533392046377</v>
      </c>
      <c r="AJ141">
        <v>9.6162485284469881</v>
      </c>
      <c r="AK141">
        <v>7.2832831605587103</v>
      </c>
      <c r="AL141">
        <v>8.8662810997806076</v>
      </c>
      <c r="AM141">
        <v>23.831025265033887</v>
      </c>
      <c r="AN141">
        <v>15.955847819925687</v>
      </c>
      <c r="AO141">
        <v>11.189935351359843</v>
      </c>
      <c r="AP141">
        <v>5.0360856270615599</v>
      </c>
      <c r="AQ141">
        <v>7.3448624298563701</v>
      </c>
      <c r="AR141">
        <v>8.1899928927387506</v>
      </c>
      <c r="AS141">
        <v>9.951296833282008</v>
      </c>
      <c r="AT141">
        <v>5.0125209326036213</v>
      </c>
      <c r="AU141">
        <v>3.5128817229090004</v>
      </c>
      <c r="AV141">
        <v>7.806740872975098</v>
      </c>
      <c r="AW141">
        <v>11.271432057214852</v>
      </c>
      <c r="AX141">
        <v>9.0308065483228717</v>
      </c>
      <c r="AY141">
        <v>7.1997512929238781</v>
      </c>
      <c r="AZ141">
        <v>7.3212473176833583</v>
      </c>
      <c r="BA141">
        <v>10.129115720623133</v>
      </c>
      <c r="BB141">
        <v>2.7613674158505361</v>
      </c>
      <c r="BC141">
        <v>5.640971249553985</v>
      </c>
      <c r="BD141">
        <v>8.9222887478762303</v>
      </c>
      <c r="BE141">
        <v>5.8585792082162982</v>
      </c>
      <c r="BF141">
        <v>4.1511069794820443</v>
      </c>
      <c r="BG141">
        <v>3.0149654299110153</v>
      </c>
      <c r="BH141">
        <v>4.5518640164565909</v>
      </c>
      <c r="BI141">
        <v>4.2135245452557157</v>
      </c>
      <c r="BJ141">
        <v>5.7026230219053389</v>
      </c>
      <c r="BK141">
        <v>3.8320554293079425</v>
      </c>
      <c r="BL141">
        <v>3.8388285816862364</v>
      </c>
      <c r="BM141">
        <v>3.536605319401616</v>
      </c>
      <c r="BN141">
        <v>6.0881528117631589</v>
      </c>
      <c r="BO141">
        <v>8.9843449706093779</v>
      </c>
      <c r="BP141">
        <v>6.024678336828913</v>
      </c>
      <c r="BQ141">
        <v>7.7498526463502841</v>
      </c>
    </row>
    <row r="142" spans="1:69" hidden="1" x14ac:dyDescent="0.2">
      <c r="A142" t="s">
        <v>345</v>
      </c>
      <c r="B142" t="s">
        <v>346</v>
      </c>
      <c r="C142" t="s">
        <v>71</v>
      </c>
      <c r="D142" t="s">
        <v>72</v>
      </c>
      <c r="P142">
        <v>8.2437051827084957</v>
      </c>
      <c r="Q142">
        <v>8.2437258927572401</v>
      </c>
      <c r="R142">
        <v>8.243711140199153</v>
      </c>
      <c r="S142">
        <v>8.2437070917176385</v>
      </c>
      <c r="T142">
        <v>8.2436997153210996</v>
      </c>
      <c r="U142">
        <v>2.2304251237105461</v>
      </c>
      <c r="V142">
        <v>2.2304378066251331</v>
      </c>
      <c r="W142">
        <v>2.2304163094986507</v>
      </c>
      <c r="X142">
        <v>2.2304415869108993</v>
      </c>
      <c r="Y142">
        <v>2.2304276075719969</v>
      </c>
      <c r="Z142">
        <v>7.0127090032412269</v>
      </c>
      <c r="AA142">
        <v>7.1768635025181595</v>
      </c>
      <c r="AB142">
        <v>3.2176546549279408</v>
      </c>
      <c r="AC142">
        <v>2.9514369185496179</v>
      </c>
      <c r="AD142">
        <v>2.8552012134966702</v>
      </c>
      <c r="AE142">
        <v>3.6982248083171356</v>
      </c>
      <c r="AF142">
        <v>2.5195406865150716</v>
      </c>
      <c r="AG142">
        <v>2.5053122322542123</v>
      </c>
      <c r="AH142">
        <v>3.1438239973824267</v>
      </c>
      <c r="AI142">
        <v>5.4024444000099265</v>
      </c>
      <c r="AJ142">
        <v>5.8701298617422708</v>
      </c>
      <c r="AK142">
        <v>4.0235541488485609</v>
      </c>
      <c r="AL142">
        <v>3.3018845310694473</v>
      </c>
      <c r="AM142">
        <v>0.85236081601824765</v>
      </c>
      <c r="AN142">
        <v>1.7959537100663141</v>
      </c>
      <c r="AO142">
        <v>0.8154203541652123</v>
      </c>
      <c r="AP142">
        <v>0.5147062849939914</v>
      </c>
      <c r="AQ142">
        <v>1.4629687533258107E-2</v>
      </c>
      <c r="AR142">
        <v>0.81919278590167721</v>
      </c>
      <c r="AS142">
        <v>1.5525219270307247</v>
      </c>
      <c r="AT142">
        <v>0.98585593718807729</v>
      </c>
      <c r="AU142">
        <v>0.65082138824628544</v>
      </c>
      <c r="AV142">
        <v>0.63255628987555212</v>
      </c>
      <c r="AW142">
        <v>0.81016867161108053</v>
      </c>
      <c r="AX142">
        <v>1.1905678702600824</v>
      </c>
      <c r="AY142">
        <v>1.3148816638552461</v>
      </c>
      <c r="AZ142">
        <v>6.5817378095028403</v>
      </c>
      <c r="BA142">
        <v>-2.1166928416492539</v>
      </c>
      <c r="BB142">
        <v>-9.9006626274347411</v>
      </c>
    </row>
    <row r="143" spans="1:69" hidden="1" x14ac:dyDescent="0.2">
      <c r="A143" t="s">
        <v>347</v>
      </c>
      <c r="B143" t="s">
        <v>348</v>
      </c>
      <c r="C143" t="s">
        <v>71</v>
      </c>
      <c r="D143" t="s">
        <v>72</v>
      </c>
      <c r="G143">
        <v>-2.346607445062233</v>
      </c>
      <c r="H143">
        <v>3.3109699614727788</v>
      </c>
      <c r="I143">
        <v>1.5987104542954995</v>
      </c>
      <c r="J143">
        <v>1.1675467111446949</v>
      </c>
      <c r="K143">
        <v>-1.8035443738719295</v>
      </c>
      <c r="L143">
        <v>1.8388755588425028</v>
      </c>
      <c r="M143">
        <v>12.098373535341111</v>
      </c>
      <c r="N143">
        <v>1.2984852011725962</v>
      </c>
      <c r="O143">
        <v>12.508470396238877</v>
      </c>
      <c r="P143">
        <v>1.4984526963192906</v>
      </c>
      <c r="Q143">
        <v>8.9668600238452996</v>
      </c>
      <c r="R143">
        <v>12.748594492614032</v>
      </c>
      <c r="S143">
        <v>24.378742627687004</v>
      </c>
      <c r="T143">
        <v>5.3502946694032687</v>
      </c>
      <c r="U143">
        <v>9.9755731517699786</v>
      </c>
      <c r="V143">
        <v>14.691083615888957</v>
      </c>
      <c r="W143">
        <v>10.917885805452613</v>
      </c>
      <c r="X143">
        <v>15.397296065895546</v>
      </c>
      <c r="Y143">
        <v>19.977512006043256</v>
      </c>
      <c r="Z143">
        <v>20.885301332364278</v>
      </c>
      <c r="AA143">
        <v>12.101060360533495</v>
      </c>
      <c r="AB143">
        <v>16.906830272553222</v>
      </c>
      <c r="AC143">
        <v>20.3005158881179</v>
      </c>
      <c r="AD143">
        <v>0.58390555948078315</v>
      </c>
      <c r="AE143">
        <v>5.9172849327438115</v>
      </c>
      <c r="AF143">
        <v>7.7514915940669766</v>
      </c>
      <c r="AG143">
        <v>10.117034033188659</v>
      </c>
      <c r="AH143">
        <v>10.923157256766245</v>
      </c>
      <c r="AI143">
        <v>20.063275288475424</v>
      </c>
      <c r="AJ143">
        <v>10.624023164376666</v>
      </c>
      <c r="AK143">
        <v>9.4037061158059601</v>
      </c>
      <c r="AL143">
        <v>9.8843943106280392</v>
      </c>
      <c r="AM143">
        <v>9.7705848200750438</v>
      </c>
      <c r="AN143">
        <v>9.3034396278522991</v>
      </c>
      <c r="AO143">
        <v>10.817455797097494</v>
      </c>
      <c r="AP143">
        <v>8.9244688196033195</v>
      </c>
      <c r="AQ143">
        <v>9.2141601259812234</v>
      </c>
      <c r="AR143">
        <v>4.162701158847625</v>
      </c>
      <c r="AS143">
        <v>7.2774302093247627</v>
      </c>
      <c r="AT143">
        <v>13.66480016244293</v>
      </c>
      <c r="AU143">
        <v>8.1115702573062691</v>
      </c>
      <c r="AV143">
        <v>8.7486643975612282</v>
      </c>
      <c r="AW143">
        <v>8.8014924613156325</v>
      </c>
      <c r="AX143">
        <v>10.41872675165159</v>
      </c>
      <c r="AY143">
        <v>11.277029447260077</v>
      </c>
      <c r="AZ143">
        <v>14.028442824711206</v>
      </c>
      <c r="BA143">
        <v>16.327016024828083</v>
      </c>
      <c r="BB143">
        <v>5.8798826358662239</v>
      </c>
      <c r="BC143">
        <v>26.934876176157303</v>
      </c>
      <c r="BD143">
        <v>3.9799293429318539</v>
      </c>
      <c r="BE143">
        <v>10.46344717678582</v>
      </c>
      <c r="BF143">
        <v>6.2528852591672717</v>
      </c>
      <c r="BG143">
        <v>1.9206288110165275</v>
      </c>
      <c r="BH143">
        <v>3.0143807983594115</v>
      </c>
      <c r="BI143">
        <v>5.4432217187956837</v>
      </c>
      <c r="BJ143">
        <v>5.4728452962510232</v>
      </c>
      <c r="BK143">
        <v>4.2953061925730083</v>
      </c>
      <c r="BL143">
        <v>3.8705276123282033</v>
      </c>
      <c r="BM143">
        <v>3.1043053536495364</v>
      </c>
      <c r="BN143">
        <v>8.0210916448161242</v>
      </c>
      <c r="BO143">
        <v>47.463884820827076</v>
      </c>
      <c r="BP143">
        <v>16.667474244168076</v>
      </c>
      <c r="BQ143">
        <v>3.8390306898809001</v>
      </c>
    </row>
    <row r="144" spans="1:69" hidden="1" x14ac:dyDescent="0.2">
      <c r="A144" t="s">
        <v>349</v>
      </c>
      <c r="B144" t="s">
        <v>350</v>
      </c>
      <c r="C144" t="s">
        <v>71</v>
      </c>
      <c r="D144" t="s">
        <v>72</v>
      </c>
      <c r="G144">
        <v>2.0915622928210524</v>
      </c>
      <c r="H144">
        <v>2.133005407713398</v>
      </c>
      <c r="I144">
        <v>3.8559432114296754</v>
      </c>
      <c r="J144">
        <v>3.0254854105308056</v>
      </c>
      <c r="K144">
        <v>3.6610668045652375</v>
      </c>
      <c r="L144">
        <v>2.1662562302218618</v>
      </c>
      <c r="M144">
        <v>2.1084073692213323</v>
      </c>
      <c r="N144">
        <v>3.0025238664515115</v>
      </c>
      <c r="O144">
        <v>3.6144243842325352</v>
      </c>
      <c r="P144">
        <v>3.2928528351809376</v>
      </c>
      <c r="Q144">
        <v>5.7376588830081872</v>
      </c>
      <c r="R144">
        <v>12.883145750780599</v>
      </c>
      <c r="S144">
        <v>16.358393970952406</v>
      </c>
      <c r="T144">
        <v>8.8828969572341236</v>
      </c>
      <c r="U144">
        <v>8.6757513355651525</v>
      </c>
      <c r="V144">
        <v>8.7031747326952456</v>
      </c>
      <c r="W144">
        <v>7.0713963213438902</v>
      </c>
      <c r="X144">
        <v>10.938302175704329</v>
      </c>
      <c r="Y144">
        <v>12.517177775187548</v>
      </c>
      <c r="Z144">
        <v>9.4704769142205123</v>
      </c>
      <c r="AA144">
        <v>8.6435080745094268</v>
      </c>
      <c r="AB144">
        <v>10.730145660333207</v>
      </c>
      <c r="AC144">
        <v>10.16368899322228</v>
      </c>
      <c r="AD144">
        <v>8.5989977259964476</v>
      </c>
      <c r="AE144">
        <v>7.3262639834226917</v>
      </c>
      <c r="AF144">
        <v>8.6497466330213229</v>
      </c>
      <c r="AG144">
        <v>9.6887598841942619</v>
      </c>
      <c r="AH144">
        <v>9.0999414502652911</v>
      </c>
      <c r="AI144">
        <v>10.668303850087483</v>
      </c>
      <c r="AJ144">
        <v>13.622117597302008</v>
      </c>
      <c r="AK144">
        <v>11.169166687647369</v>
      </c>
      <c r="AL144">
        <v>10.568427964402282</v>
      </c>
      <c r="AM144">
        <v>11.716928169115825</v>
      </c>
      <c r="AN144">
        <v>10.679005567444506</v>
      </c>
      <c r="AO144">
        <v>8.6967671174354564</v>
      </c>
      <c r="AP144">
        <v>8.4263615819780711</v>
      </c>
      <c r="AQ144">
        <v>8.0101675245640109</v>
      </c>
      <c r="AR144">
        <v>6.1702590840434937</v>
      </c>
      <c r="AS144">
        <v>6.0798484892386426</v>
      </c>
      <c r="AT144">
        <v>6.3976818069031651</v>
      </c>
      <c r="AU144">
        <v>4.582137352165546</v>
      </c>
      <c r="AV144">
        <v>5.5393374465150202</v>
      </c>
      <c r="AW144">
        <v>5.8907585340695334</v>
      </c>
      <c r="AX144">
        <v>6.2127295061837486</v>
      </c>
      <c r="AY144">
        <v>7.8679120476971889</v>
      </c>
      <c r="AZ144">
        <v>7.0997309934301569</v>
      </c>
      <c r="BA144">
        <v>10.640244817069402</v>
      </c>
      <c r="BB144">
        <v>4.424099434461553</v>
      </c>
      <c r="BC144">
        <v>8.0774560971307352</v>
      </c>
      <c r="BD144">
        <v>8.8331682242247069</v>
      </c>
      <c r="BE144">
        <v>7.1225010157379671</v>
      </c>
      <c r="BF144">
        <v>4.3780708431065136</v>
      </c>
      <c r="BG144">
        <v>3.8041815804018242</v>
      </c>
      <c r="BH144">
        <v>3.2727808617375445</v>
      </c>
      <c r="BI144">
        <v>2.7700761892878916</v>
      </c>
      <c r="BJ144">
        <v>4.3562770531644759</v>
      </c>
      <c r="BK144">
        <v>3.8519614792660164</v>
      </c>
      <c r="BL144">
        <v>3.4670976769925232</v>
      </c>
      <c r="BM144">
        <v>4.3085056619272493</v>
      </c>
      <c r="BN144">
        <v>4.973270616012762</v>
      </c>
      <c r="BO144">
        <v>6.8940545943994564</v>
      </c>
      <c r="BP144">
        <v>6.0856493783797418</v>
      </c>
      <c r="BQ144">
        <v>4.5176275985723606</v>
      </c>
    </row>
    <row r="145" spans="1:69" hidden="1" x14ac:dyDescent="0.2">
      <c r="A145" t="s">
        <v>351</v>
      </c>
      <c r="B145" t="s">
        <v>352</v>
      </c>
      <c r="C145" t="s">
        <v>71</v>
      </c>
      <c r="D145" t="s">
        <v>72</v>
      </c>
      <c r="F145">
        <v>2.9900634646976556</v>
      </c>
      <c r="G145">
        <v>2.0128730479386121</v>
      </c>
      <c r="H145">
        <v>3.0944167774832678</v>
      </c>
      <c r="I145">
        <v>2.9662259326001887</v>
      </c>
      <c r="J145">
        <v>2.9985383907403147</v>
      </c>
      <c r="K145">
        <v>3.7370022581523159</v>
      </c>
      <c r="L145">
        <v>1.9796306041972045</v>
      </c>
      <c r="M145">
        <v>2.3676421442567346</v>
      </c>
      <c r="N145">
        <v>3.4541955241057991</v>
      </c>
      <c r="O145">
        <v>3.8595520809135024</v>
      </c>
      <c r="P145">
        <v>4.6641800352153808</v>
      </c>
      <c r="Q145">
        <v>5.9503664686870792</v>
      </c>
      <c r="R145">
        <v>12.575532138610797</v>
      </c>
      <c r="S145">
        <v>17.727898363814404</v>
      </c>
      <c r="T145">
        <v>9.6186217663187392</v>
      </c>
      <c r="U145">
        <v>9.3329115366451987</v>
      </c>
      <c r="V145">
        <v>10.506665893972752</v>
      </c>
      <c r="W145">
        <v>9.0583083028582081</v>
      </c>
      <c r="X145">
        <v>12.564505989963919</v>
      </c>
      <c r="Y145">
        <v>13.898534825435249</v>
      </c>
      <c r="Z145">
        <v>9.5779751842200369</v>
      </c>
      <c r="AA145">
        <v>8.1130868418377844</v>
      </c>
      <c r="AB145">
        <v>8.8961336531045987</v>
      </c>
      <c r="AC145">
        <v>10.177204484349197</v>
      </c>
      <c r="AD145">
        <v>7.1937854445294249</v>
      </c>
      <c r="AE145">
        <v>6.5545096897585893</v>
      </c>
      <c r="AF145">
        <v>8.8420204223294832</v>
      </c>
      <c r="AG145">
        <v>9.0691837553423511</v>
      </c>
      <c r="AH145">
        <v>8.7184571773348907</v>
      </c>
      <c r="AI145">
        <v>10.664594683503729</v>
      </c>
      <c r="AJ145">
        <v>13.492416253722354</v>
      </c>
      <c r="AK145">
        <v>11.169166687647369</v>
      </c>
      <c r="AL145">
        <v>11.297973858390549</v>
      </c>
      <c r="AM145">
        <v>20.459093129318418</v>
      </c>
      <c r="AN145">
        <v>10.986411961136227</v>
      </c>
      <c r="AO145">
        <v>9.0748348887851336</v>
      </c>
      <c r="AP145">
        <v>7.0061730488434364</v>
      </c>
      <c r="AQ145">
        <v>6.9358620045837469</v>
      </c>
      <c r="AR145">
        <v>6.902447456821541</v>
      </c>
      <c r="AS145">
        <v>7.8775807655419356</v>
      </c>
      <c r="AT145">
        <v>6.0305415284848323</v>
      </c>
      <c r="AU145">
        <v>4.582137352165546</v>
      </c>
      <c r="AV145">
        <v>5.6231925905445621</v>
      </c>
      <c r="AW145">
        <v>7.2830334068147806</v>
      </c>
      <c r="AX145">
        <v>6.8969365161184442</v>
      </c>
      <c r="AY145">
        <v>7.656248078896823</v>
      </c>
      <c r="AZ145">
        <v>7.0997309934301569</v>
      </c>
      <c r="BA145">
        <v>9.5027867415811755</v>
      </c>
      <c r="BB145">
        <v>2.7382585664238235</v>
      </c>
      <c r="BC145">
        <v>6.8992650940543001</v>
      </c>
      <c r="BD145">
        <v>8.0160629287618974</v>
      </c>
      <c r="BE145">
        <v>5.0032359079486213</v>
      </c>
      <c r="BF145">
        <v>3.5869058261315416</v>
      </c>
      <c r="BG145">
        <v>3.3155630187845873</v>
      </c>
      <c r="BH145">
        <v>2.9933328489284534</v>
      </c>
      <c r="BI145">
        <v>2.9768335687840803</v>
      </c>
      <c r="BJ145">
        <v>4.0971823302768939</v>
      </c>
      <c r="BK145">
        <v>3.7678862226099028</v>
      </c>
      <c r="BL145">
        <v>3.0309456354502018</v>
      </c>
      <c r="BM145">
        <v>2.82883193883481</v>
      </c>
      <c r="BN145">
        <v>6.0597565760951397</v>
      </c>
      <c r="BO145">
        <v>8.4104769973431743</v>
      </c>
      <c r="BP145">
        <v>5.831438405295259</v>
      </c>
      <c r="BQ145">
        <v>4.3714530030566578</v>
      </c>
    </row>
    <row r="146" spans="1:69" hidden="1" x14ac:dyDescent="0.2">
      <c r="A146" t="s">
        <v>353</v>
      </c>
      <c r="B146" t="s">
        <v>354</v>
      </c>
      <c r="C146" t="s">
        <v>71</v>
      </c>
      <c r="D146" t="s">
        <v>72</v>
      </c>
      <c r="F146">
        <v>1.3489167049038002</v>
      </c>
      <c r="G146">
        <v>1.667438976101792</v>
      </c>
      <c r="H146">
        <v>1.5906620870237873</v>
      </c>
      <c r="I146">
        <v>2.0004860396372237</v>
      </c>
      <c r="J146">
        <v>3.4323356736898063</v>
      </c>
      <c r="K146">
        <v>3.7370022581523159</v>
      </c>
      <c r="L146">
        <v>-5.7645155283738063</v>
      </c>
      <c r="M146">
        <v>4.0673817626890099</v>
      </c>
      <c r="N146">
        <v>5.7232020251155973</v>
      </c>
      <c r="O146">
        <v>1.9818205402252005</v>
      </c>
      <c r="P146">
        <v>5.985496235371528</v>
      </c>
      <c r="Q146">
        <v>13.942121932389327</v>
      </c>
      <c r="R146">
        <v>6.9650175400803818</v>
      </c>
      <c r="S146">
        <v>9.8203443234505841</v>
      </c>
      <c r="T146">
        <v>24.762172097857629</v>
      </c>
      <c r="U146">
        <v>4.542947279623192</v>
      </c>
      <c r="V146">
        <v>7.4788936164647453</v>
      </c>
      <c r="W146">
        <v>16.546444280334825</v>
      </c>
      <c r="X146">
        <v>2.4283855261141269</v>
      </c>
      <c r="Y146">
        <v>41.459500899224736</v>
      </c>
      <c r="Z146">
        <v>12.577115736015159</v>
      </c>
      <c r="AA146">
        <v>-4.8526439434228763</v>
      </c>
      <c r="AB146">
        <v>11.556841716985716</v>
      </c>
      <c r="AC146">
        <v>8.1029499817689015</v>
      </c>
      <c r="AD146">
        <v>18.707779474527214</v>
      </c>
      <c r="AE146">
        <v>16.253272359592913</v>
      </c>
      <c r="AF146">
        <v>11.735783503832977</v>
      </c>
      <c r="AG146">
        <v>20.081100926977726</v>
      </c>
      <c r="AH146">
        <v>14.839283913610288</v>
      </c>
      <c r="AI146">
        <v>11.99390390750807</v>
      </c>
      <c r="AJ146">
        <v>17.827222038708285</v>
      </c>
      <c r="AK146">
        <v>13.938990210066109</v>
      </c>
      <c r="AL146">
        <v>11.297973858390549</v>
      </c>
      <c r="AM146">
        <v>7.7666361943427518</v>
      </c>
      <c r="AN146">
        <v>12.816518893369121</v>
      </c>
      <c r="AO146">
        <v>6.0020440622212021</v>
      </c>
      <c r="AP146">
        <v>9.0189409138505852</v>
      </c>
      <c r="AQ146">
        <v>9.9222336984018824</v>
      </c>
      <c r="AR146">
        <v>8.1312525832425848</v>
      </c>
      <c r="AS146">
        <v>6.3002182519458216</v>
      </c>
      <c r="AT146">
        <v>11.473054920566256</v>
      </c>
      <c r="AU146">
        <v>14.206932442900609</v>
      </c>
      <c r="AV146">
        <v>2.4388128267292188</v>
      </c>
      <c r="AW146">
        <v>9.6003925600674194</v>
      </c>
      <c r="AX146">
        <v>5.9228432009751089</v>
      </c>
      <c r="AY146">
        <v>9.3109884808070547</v>
      </c>
      <c r="AZ146">
        <v>-6.682454307369909</v>
      </c>
      <c r="BA146">
        <v>16.719820413429815</v>
      </c>
      <c r="BB146">
        <v>2.3450308679163072</v>
      </c>
      <c r="BC146">
        <v>5.3371101372097058</v>
      </c>
      <c r="BD146">
        <v>9.4264070032438809</v>
      </c>
      <c r="BE146">
        <v>2.1820480175295245</v>
      </c>
      <c r="BF146">
        <v>10.279895643738286</v>
      </c>
      <c r="BG146">
        <v>14.035152154547916</v>
      </c>
      <c r="BH146">
        <v>10.203039185490439</v>
      </c>
      <c r="BI146">
        <v>-0.29245123274961315</v>
      </c>
      <c r="BJ146">
        <v>2.0189102382018405</v>
      </c>
      <c r="BK146">
        <v>11.723068726943865</v>
      </c>
      <c r="BL146">
        <v>3.5754544693206611</v>
      </c>
      <c r="BM146">
        <v>6.5482055988391323</v>
      </c>
      <c r="BN146">
        <v>3.123781064667412</v>
      </c>
      <c r="BO146">
        <v>5.5300546930840682</v>
      </c>
      <c r="BP146">
        <v>-0.36809783592862289</v>
      </c>
      <c r="BQ146">
        <v>3.6805932925325209</v>
      </c>
    </row>
    <row r="147" spans="1:69" hidden="1" x14ac:dyDescent="0.2">
      <c r="A147" t="s">
        <v>355</v>
      </c>
      <c r="B147" t="s">
        <v>356</v>
      </c>
      <c r="C147" t="s">
        <v>71</v>
      </c>
      <c r="D147" t="s">
        <v>72</v>
      </c>
      <c r="P147">
        <v>5.4455441847912027</v>
      </c>
      <c r="Q147">
        <v>6.7866589009426264</v>
      </c>
      <c r="R147">
        <v>15.997451204613242</v>
      </c>
      <c r="S147">
        <v>25.377150004666134</v>
      </c>
      <c r="T147">
        <v>12.081807348125174</v>
      </c>
      <c r="U147">
        <v>7.9956476549060511</v>
      </c>
      <c r="V147">
        <v>9.6533090916745152</v>
      </c>
      <c r="W147">
        <v>7.9084815307926277</v>
      </c>
      <c r="X147">
        <v>13.368568932945209</v>
      </c>
      <c r="Y147">
        <v>18.288010784912757</v>
      </c>
      <c r="Z147">
        <v>10.306550661677221</v>
      </c>
      <c r="AA147">
        <v>6.6938283444457056</v>
      </c>
      <c r="AB147">
        <v>6.1508199018867842</v>
      </c>
      <c r="AC147">
        <v>6.105930289596408</v>
      </c>
      <c r="AD147">
        <v>5.0266857593472167</v>
      </c>
      <c r="AE147">
        <v>4.6603870236360478</v>
      </c>
      <c r="AF147">
        <v>6.9631790191662191</v>
      </c>
      <c r="AG147">
        <v>3.9287525479433612</v>
      </c>
      <c r="AH147">
        <v>5.8192528559441286</v>
      </c>
      <c r="AI147">
        <v>9.7027486132816705</v>
      </c>
      <c r="AJ147">
        <v>10.624023164376666</v>
      </c>
      <c r="AK147">
        <v>9.4037061158059601</v>
      </c>
      <c r="AL147">
        <v>10.435572162094658</v>
      </c>
      <c r="AM147">
        <v>13.267802451545904</v>
      </c>
      <c r="AN147">
        <v>10.679005567444506</v>
      </c>
      <c r="AO147">
        <v>6.5816948753255673</v>
      </c>
      <c r="AP147">
        <v>4.9250474473561354</v>
      </c>
      <c r="AQ147">
        <v>6.3601425515710019</v>
      </c>
      <c r="AR147">
        <v>5.7347028294046538</v>
      </c>
      <c r="AS147">
        <v>5.961720448160861</v>
      </c>
      <c r="AT147">
        <v>4.1525582318267311</v>
      </c>
      <c r="AU147">
        <v>4.0033554584082225</v>
      </c>
      <c r="AV147">
        <v>5.0810049280713869</v>
      </c>
      <c r="AW147">
        <v>6.8103437996311413</v>
      </c>
      <c r="AX147">
        <v>6.7710612487831625</v>
      </c>
      <c r="AY147">
        <v>7.0943366086877688</v>
      </c>
      <c r="AZ147">
        <v>6.8827250852472304</v>
      </c>
      <c r="BA147">
        <v>8.3175695964036862</v>
      </c>
      <c r="BB147">
        <v>1.7649920660724803</v>
      </c>
      <c r="BC147">
        <v>5.5017084031641232</v>
      </c>
      <c r="BD147">
        <v>4.5821696006392187</v>
      </c>
      <c r="BE147">
        <v>3.5086969165627266</v>
      </c>
      <c r="BF147">
        <v>2.0786989363386823</v>
      </c>
      <c r="BG147">
        <v>1.9992257907291062</v>
      </c>
      <c r="BH147">
        <v>2.0862708628512863</v>
      </c>
      <c r="BI147">
        <v>1.7388979471116386</v>
      </c>
      <c r="BJ147">
        <v>3.5648886662507167</v>
      </c>
      <c r="BK147">
        <v>3.226106404660726</v>
      </c>
      <c r="BL147">
        <v>2.423226942292672</v>
      </c>
      <c r="BM147">
        <v>1.3742807182513701</v>
      </c>
      <c r="BN147">
        <v>5.6102550990241724</v>
      </c>
      <c r="BO147">
        <v>8.8511540301349925</v>
      </c>
      <c r="BP147">
        <v>5.4735081306198552</v>
      </c>
      <c r="BQ147">
        <v>3.61295500814186</v>
      </c>
    </row>
    <row r="148" spans="1:69" hidden="1" x14ac:dyDescent="0.2">
      <c r="A148" t="s">
        <v>357</v>
      </c>
      <c r="B148" t="s">
        <v>358</v>
      </c>
      <c r="C148" t="s">
        <v>71</v>
      </c>
      <c r="D148" t="s">
        <v>72</v>
      </c>
      <c r="AJ148">
        <v>228.33678176638358</v>
      </c>
      <c r="AK148">
        <v>942.306569115402</v>
      </c>
      <c r="AL148">
        <v>306.19444507892314</v>
      </c>
      <c r="AM148">
        <v>61.635254009529007</v>
      </c>
      <c r="AN148">
        <v>38.045742326052192</v>
      </c>
      <c r="AO148">
        <v>18.999441211724317</v>
      </c>
      <c r="AP148">
        <v>11.372487386704506</v>
      </c>
      <c r="AQ148">
        <v>3.3132067902248821</v>
      </c>
      <c r="AR148">
        <v>-1.2827489035843485</v>
      </c>
      <c r="AS148">
        <v>1.3316734004748696</v>
      </c>
      <c r="AT148">
        <v>-0.31623757131919206</v>
      </c>
      <c r="AU148">
        <v>0.31515358929252102</v>
      </c>
      <c r="AV148">
        <v>-0.812341044571113</v>
      </c>
      <c r="AW148">
        <v>3.1211463973321827</v>
      </c>
      <c r="AX148">
        <v>6.3731505201482435</v>
      </c>
      <c r="AY148">
        <v>6.4850685026562047</v>
      </c>
      <c r="AZ148">
        <v>8.9121080100626386</v>
      </c>
      <c r="BA148">
        <v>9.7160789264032701</v>
      </c>
      <c r="BB148">
        <v>-3.0895324873105778</v>
      </c>
      <c r="BC148">
        <v>2.1217215075295428</v>
      </c>
      <c r="BD148">
        <v>5.6222790400255747</v>
      </c>
      <c r="BE148">
        <v>2.5051809322292513</v>
      </c>
      <c r="BF148">
        <v>0.83382755089058946</v>
      </c>
      <c r="BG148">
        <v>0.60919065820628759</v>
      </c>
      <c r="BH148">
        <v>-2.2527821753755006E-3</v>
      </c>
      <c r="BI148">
        <v>0.98747242430856375</v>
      </c>
      <c r="BJ148">
        <v>4.0957915313084783</v>
      </c>
      <c r="BK148">
        <v>3.5930116761976052</v>
      </c>
      <c r="BL148">
        <v>2.375860140426056</v>
      </c>
      <c r="BM148">
        <v>2.0387441859624431</v>
      </c>
      <c r="BN148">
        <v>5.9997665672236451</v>
      </c>
      <c r="BO148">
        <v>16.066542820715668</v>
      </c>
      <c r="BP148">
        <v>9.0217556386887026</v>
      </c>
      <c r="BQ148">
        <v>3.3900081554718184</v>
      </c>
    </row>
    <row r="149" spans="1:69" hidden="1" x14ac:dyDescent="0.2">
      <c r="A149" t="s">
        <v>359</v>
      </c>
      <c r="B149" t="s">
        <v>360</v>
      </c>
      <c r="C149" t="s">
        <v>71</v>
      </c>
      <c r="D149" t="s">
        <v>72</v>
      </c>
      <c r="F149">
        <v>-3.6586105704603682</v>
      </c>
      <c r="G149">
        <v>3.8946676761859749</v>
      </c>
      <c r="H149">
        <v>3.1459529903812324</v>
      </c>
      <c r="I149">
        <v>5.8343241667841994</v>
      </c>
      <c r="J149">
        <v>2.7974353884849137</v>
      </c>
      <c r="K149">
        <v>3.9329982401422114</v>
      </c>
      <c r="L149">
        <v>0.43096718630559394</v>
      </c>
      <c r="M149">
        <v>5.0166527686417623</v>
      </c>
      <c r="N149">
        <v>5.293013802464742</v>
      </c>
      <c r="O149">
        <v>15.027772939962134</v>
      </c>
      <c r="P149">
        <v>-0.81420825195750979</v>
      </c>
      <c r="Q149">
        <v>5.7888047111282219</v>
      </c>
      <c r="R149">
        <v>12.202260128518859</v>
      </c>
      <c r="S149">
        <v>16.98071427777694</v>
      </c>
      <c r="T149">
        <v>-0.8553008734030243</v>
      </c>
      <c r="U149">
        <v>12.215699801472795</v>
      </c>
      <c r="V149">
        <v>1.1721909379897539</v>
      </c>
      <c r="W149">
        <v>5.129992813763721</v>
      </c>
      <c r="X149">
        <v>6.3544154063525582</v>
      </c>
      <c r="Y149">
        <v>7.9213476952568271</v>
      </c>
      <c r="Z149">
        <v>7.1820258834172819</v>
      </c>
      <c r="AA149">
        <v>10.811377907191044</v>
      </c>
      <c r="AB149">
        <v>6.8186823817349307</v>
      </c>
      <c r="AC149">
        <v>4.4074894400225588</v>
      </c>
      <c r="AD149">
        <v>3.092488052985388</v>
      </c>
      <c r="AE149">
        <v>-8.3773197350566875E-2</v>
      </c>
      <c r="AF149">
        <v>6.303745316080267E-2</v>
      </c>
      <c r="AG149">
        <v>2.776424092737912</v>
      </c>
      <c r="AH149">
        <v>4.020987726928297</v>
      </c>
      <c r="AI149">
        <v>2.5133923849655702</v>
      </c>
      <c r="AJ149">
        <v>1.8228390685190305</v>
      </c>
      <c r="AK149">
        <v>3.7290710403473923</v>
      </c>
      <c r="AL149">
        <v>5.9727682694667834</v>
      </c>
      <c r="AM149">
        <v>3.5423758399313954</v>
      </c>
      <c r="AN149">
        <v>2.332069567739083</v>
      </c>
      <c r="AO149">
        <v>3.7835567935022567</v>
      </c>
      <c r="AP149">
        <v>2.6195460718188031</v>
      </c>
      <c r="AQ149">
        <v>-2.0325471184198562</v>
      </c>
      <c r="AR149">
        <v>4.764619582764368</v>
      </c>
      <c r="AS149">
        <v>4.6084735000099926</v>
      </c>
      <c r="AT149">
        <v>0.79007381566252377</v>
      </c>
      <c r="AU149">
        <v>1.4644102115135951</v>
      </c>
      <c r="AV149">
        <v>2.1859765505310094</v>
      </c>
      <c r="AW149">
        <v>3.1173285931248955</v>
      </c>
      <c r="AX149">
        <v>4.8173269667593672</v>
      </c>
      <c r="AY149">
        <v>6.454674861274313</v>
      </c>
      <c r="AZ149">
        <v>1.8924808946579645</v>
      </c>
      <c r="BA149">
        <v>6.6099647962332426</v>
      </c>
      <c r="BB149">
        <v>0.87068797090658734</v>
      </c>
      <c r="BC149">
        <v>4.6484175036022464</v>
      </c>
      <c r="BD149">
        <v>3.4494618243641213</v>
      </c>
      <c r="BE149">
        <v>3.2659772189919352</v>
      </c>
      <c r="BF149">
        <v>2.2760250887949383</v>
      </c>
      <c r="BG149">
        <v>2.7967014237684822</v>
      </c>
      <c r="BH149">
        <v>2.2191809083740139</v>
      </c>
      <c r="BI149">
        <v>-1.1076166234341684</v>
      </c>
      <c r="BJ149">
        <v>2.1429045265774675</v>
      </c>
      <c r="BK149">
        <v>1.839588065648627</v>
      </c>
      <c r="BL149">
        <v>0.91637042154356152</v>
      </c>
      <c r="BM149">
        <v>3.8690632688953315</v>
      </c>
      <c r="BN149">
        <v>5.9021297247060724</v>
      </c>
      <c r="BO149">
        <v>6.2175216726222402</v>
      </c>
      <c r="BP149">
        <v>6.2900550545503791</v>
      </c>
      <c r="BQ149">
        <v>5.2263550670313492</v>
      </c>
    </row>
    <row r="150" spans="1:69" hidden="1" x14ac:dyDescent="0.2">
      <c r="A150" t="s">
        <v>361</v>
      </c>
      <c r="B150" t="s">
        <v>362</v>
      </c>
      <c r="C150" t="s">
        <v>71</v>
      </c>
      <c r="D150" t="s">
        <v>72</v>
      </c>
      <c r="AJ150">
        <v>162.58473963536051</v>
      </c>
      <c r="AK150">
        <v>932.49462790689404</v>
      </c>
      <c r="AL150">
        <v>53.693606232054634</v>
      </c>
      <c r="AM150">
        <v>36.251785210767565</v>
      </c>
      <c r="AN150">
        <v>29.322711456100848</v>
      </c>
      <c r="AO150">
        <v>12.964200148631804</v>
      </c>
      <c r="AP150">
        <v>5.7893783930567082</v>
      </c>
      <c r="AQ150">
        <v>4.6692484294690075</v>
      </c>
      <c r="AR150">
        <v>1.3255848916172965</v>
      </c>
      <c r="AS150">
        <v>3.7749162753221128</v>
      </c>
      <c r="AT150">
        <v>2.6231969054039581</v>
      </c>
      <c r="AU150">
        <v>3.259004286435399</v>
      </c>
      <c r="AV150">
        <v>3.6454970247650635</v>
      </c>
      <c r="AW150">
        <v>6.9249911911160211</v>
      </c>
      <c r="AX150">
        <v>10.445338476346762</v>
      </c>
      <c r="AY150">
        <v>10.226385069683658</v>
      </c>
      <c r="AZ150">
        <v>19.550485561084628</v>
      </c>
      <c r="BA150">
        <v>12.374398889651857</v>
      </c>
      <c r="BB150">
        <v>-5.7316239303984986</v>
      </c>
      <c r="BC150">
        <v>-0.48386131772707586</v>
      </c>
      <c r="BD150">
        <v>4.7081070974448949</v>
      </c>
      <c r="BE150">
        <v>2.8785672948142604</v>
      </c>
      <c r="BF150">
        <v>1.9005296911793153</v>
      </c>
      <c r="BG150">
        <v>1.6699491899627787</v>
      </c>
      <c r="BH150">
        <v>0.38688741781984959</v>
      </c>
      <c r="BI150">
        <v>0.60793058331536542</v>
      </c>
      <c r="BJ150">
        <v>2.7092399520610684</v>
      </c>
      <c r="BK150">
        <v>3.7402787396845412</v>
      </c>
      <c r="BL150">
        <v>4.3163818841018582</v>
      </c>
      <c r="BM150">
        <v>2.3933269390426233</v>
      </c>
      <c r="BN150">
        <v>3.2973432652704417</v>
      </c>
      <c r="BO150">
        <v>9.8353805343666352</v>
      </c>
      <c r="BP150">
        <v>6.0392385063744882</v>
      </c>
      <c r="BQ150">
        <v>2.5771531939161179</v>
      </c>
    </row>
    <row r="151" spans="1:69" hidden="1" x14ac:dyDescent="0.2">
      <c r="A151" t="s">
        <v>363</v>
      </c>
      <c r="B151" t="s">
        <v>364</v>
      </c>
      <c r="C151" t="s">
        <v>71</v>
      </c>
      <c r="D151" t="s">
        <v>72</v>
      </c>
      <c r="AB151">
        <v>8.064319411488114</v>
      </c>
      <c r="AC151">
        <v>14.26519832835082</v>
      </c>
      <c r="AD151">
        <v>3.1938167170566913</v>
      </c>
      <c r="AE151">
        <v>5.6156560664362587</v>
      </c>
      <c r="AF151">
        <v>11.753282906058232</v>
      </c>
      <c r="AG151">
        <v>8.8556083069549345</v>
      </c>
      <c r="AH151">
        <v>12.465353403343855</v>
      </c>
      <c r="AI151">
        <v>10.94316739375833</v>
      </c>
      <c r="AJ151">
        <v>11.651535417759433</v>
      </c>
      <c r="AK151">
        <v>14.739263539221284</v>
      </c>
      <c r="AL151">
        <v>9.5367862797413068</v>
      </c>
      <c r="AM151">
        <v>6.7528228135579127</v>
      </c>
      <c r="AN151">
        <v>8.1846094071941025</v>
      </c>
      <c r="AO151">
        <v>2.266165032933614</v>
      </c>
      <c r="AP151">
        <v>1.6605146554645955</v>
      </c>
      <c r="AQ151">
        <v>-1.9410867141226475</v>
      </c>
      <c r="AR151">
        <v>-1.1910628578141029</v>
      </c>
      <c r="AS151">
        <v>-1.7458657485275921</v>
      </c>
      <c r="AT151">
        <v>-1.4788512312200197</v>
      </c>
      <c r="AU151">
        <v>-1.3377577139394248</v>
      </c>
      <c r="AV151">
        <v>5.0658301832015695E-2</v>
      </c>
      <c r="AW151">
        <v>1.9333243051243869</v>
      </c>
      <c r="AX151">
        <v>5.5682537114641377</v>
      </c>
      <c r="AY151">
        <v>7.7445196723662519</v>
      </c>
      <c r="AZ151">
        <v>8.7622394133974666</v>
      </c>
      <c r="BA151">
        <v>10.073180565393301</v>
      </c>
      <c r="BB151">
        <v>0.92213760785990928</v>
      </c>
      <c r="BC151">
        <v>4.7905732794899762</v>
      </c>
      <c r="BD151">
        <v>7.4907984306436788</v>
      </c>
      <c r="BE151">
        <v>6.921050556348348</v>
      </c>
      <c r="BF151">
        <v>7.732598897859603</v>
      </c>
      <c r="BG151">
        <v>8.7306056713345015</v>
      </c>
      <c r="BH151">
        <v>4.5139061008278958</v>
      </c>
      <c r="BI151">
        <v>0.86184722231858757</v>
      </c>
      <c r="BJ151">
        <v>2.1488892270027407</v>
      </c>
      <c r="BK151">
        <v>3.5428491458033591</v>
      </c>
      <c r="BL151">
        <v>2.40349121281929</v>
      </c>
      <c r="BM151">
        <v>-0.25777730513928532</v>
      </c>
      <c r="BN151">
        <v>-0.87890461982421186</v>
      </c>
      <c r="BO151">
        <v>1.1608410172707835</v>
      </c>
      <c r="BP151">
        <v>4.6358798351378709</v>
      </c>
      <c r="BQ151">
        <v>0.36206729225922629</v>
      </c>
    </row>
    <row r="152" spans="1:69" hidden="1" x14ac:dyDescent="0.2">
      <c r="A152" t="s">
        <v>365</v>
      </c>
      <c r="B152" t="s">
        <v>366</v>
      </c>
      <c r="C152" t="s">
        <v>71</v>
      </c>
      <c r="D152" t="s">
        <v>72</v>
      </c>
    </row>
    <row r="153" spans="1:69" hidden="1" x14ac:dyDescent="0.2">
      <c r="A153" t="s">
        <v>367</v>
      </c>
      <c r="B153" t="s">
        <v>368</v>
      </c>
      <c r="C153" t="s">
        <v>71</v>
      </c>
      <c r="D153" t="s">
        <v>72</v>
      </c>
      <c r="L153">
        <v>-3.7450406324841481</v>
      </c>
      <c r="M153">
        <v>-2.2779798689623192</v>
      </c>
      <c r="N153">
        <v>3.0081543111810021</v>
      </c>
      <c r="O153">
        <v>3.4676984257902177</v>
      </c>
      <c r="P153">
        <v>4.0651974646251858</v>
      </c>
      <c r="Q153">
        <v>3.5842199420924175</v>
      </c>
      <c r="R153">
        <v>6.039392994782375</v>
      </c>
      <c r="S153">
        <v>23.898235843965395</v>
      </c>
      <c r="T153">
        <v>0.93131595890318408</v>
      </c>
      <c r="U153">
        <v>4.9765938925253579</v>
      </c>
      <c r="V153">
        <v>10.770966531971098</v>
      </c>
      <c r="W153">
        <v>8.4172132786636666</v>
      </c>
      <c r="X153">
        <v>7.3446090636215757</v>
      </c>
      <c r="Y153">
        <v>33.023131437620918</v>
      </c>
      <c r="Z153">
        <v>9.4704769142205123</v>
      </c>
      <c r="AA153">
        <v>6.298352503050836</v>
      </c>
      <c r="AB153">
        <v>6.97019803473043</v>
      </c>
      <c r="AC153">
        <v>6.2011534381692286</v>
      </c>
      <c r="AD153">
        <v>8.9536443197333142</v>
      </c>
      <c r="AE153">
        <v>7.4907494864649777</v>
      </c>
      <c r="AF153">
        <v>3.0148084225800602</v>
      </c>
      <c r="AG153">
        <v>3.6705965516594432</v>
      </c>
      <c r="AH153">
        <v>2.9199790555720853</v>
      </c>
      <c r="AI153">
        <v>7.6943596222616861</v>
      </c>
      <c r="AJ153">
        <v>5.3963161867298055</v>
      </c>
      <c r="AK153">
        <v>4.5878783207556637</v>
      </c>
      <c r="AL153">
        <v>3.0349824633210147</v>
      </c>
      <c r="AM153">
        <v>0.6553402301128699</v>
      </c>
      <c r="AN153">
        <v>7.5384029394989653</v>
      </c>
      <c r="AO153">
        <v>0.43548856724771667</v>
      </c>
      <c r="AP153">
        <v>0.71339164250439069</v>
      </c>
      <c r="AQ153">
        <v>11.657170213799787</v>
      </c>
      <c r="AR153">
        <v>-0.12015615647560196</v>
      </c>
      <c r="AS153">
        <v>-1.7675986844836302</v>
      </c>
      <c r="AT153">
        <v>0.61452291175534413</v>
      </c>
      <c r="AU153">
        <v>0.95955933943483274</v>
      </c>
      <c r="AV153">
        <v>0.86040825531392784</v>
      </c>
      <c r="AW153">
        <v>0.91354517913180189</v>
      </c>
      <c r="AX153">
        <v>0.88622137637533172</v>
      </c>
      <c r="AY153">
        <v>1.4453667845756542</v>
      </c>
      <c r="AZ153">
        <v>3.1715441234209152</v>
      </c>
      <c r="BA153">
        <v>4.8303863930625965</v>
      </c>
      <c r="BB153">
        <v>-0.45255878055276355</v>
      </c>
      <c r="BC153">
        <v>0.64750104746296699</v>
      </c>
      <c r="BD153">
        <v>-0.59884490717114147</v>
      </c>
      <c r="BE153">
        <v>0.53317246192638379</v>
      </c>
      <c r="BF153">
        <v>1.2602624825603499</v>
      </c>
      <c r="BG153">
        <v>0.21543776242867807</v>
      </c>
      <c r="BH153">
        <v>3.1729353096712458</v>
      </c>
      <c r="BI153">
        <v>0.96988386804991933</v>
      </c>
      <c r="BJ153">
        <v>-6.0891014293190437E-2</v>
      </c>
      <c r="BK153">
        <v>0.93918163753197348</v>
      </c>
      <c r="BL153">
        <v>0.8168054564852838</v>
      </c>
      <c r="BM153">
        <v>0.14241796207909374</v>
      </c>
      <c r="BN153">
        <v>2.4152035566496295</v>
      </c>
      <c r="BO153">
        <v>2.6618612061797506</v>
      </c>
      <c r="BP153">
        <v>6.3609488819186879</v>
      </c>
      <c r="BQ153">
        <v>1.630845681469566</v>
      </c>
    </row>
    <row r="154" spans="1:69" hidden="1" x14ac:dyDescent="0.2">
      <c r="A154" t="s">
        <v>369</v>
      </c>
      <c r="B154" t="s">
        <v>370</v>
      </c>
      <c r="C154" t="s">
        <v>71</v>
      </c>
      <c r="D154" t="s">
        <v>72</v>
      </c>
      <c r="P154">
        <v>5.9821546896148732</v>
      </c>
      <c r="Q154">
        <v>6.8470042368693242</v>
      </c>
      <c r="R154">
        <v>7.7675478135205793</v>
      </c>
      <c r="S154">
        <v>11.364642549913498</v>
      </c>
      <c r="T154">
        <v>13.6568598021056</v>
      </c>
      <c r="U154">
        <v>10.797459280279881</v>
      </c>
      <c r="V154">
        <v>8.8011985203836787</v>
      </c>
      <c r="W154">
        <v>9.1689479853599636</v>
      </c>
      <c r="X154">
        <v>10.097875368572247</v>
      </c>
      <c r="Y154">
        <v>11.263480547319759</v>
      </c>
      <c r="Z154">
        <v>11.441115812072567</v>
      </c>
      <c r="AA154">
        <v>11.988081787269351</v>
      </c>
      <c r="AB154">
        <v>9.5172108626175458</v>
      </c>
      <c r="AC154">
        <v>7.2777770714171197</v>
      </c>
      <c r="AD154">
        <v>5.5268201428267787</v>
      </c>
      <c r="AE154">
        <v>5.2790251732862004</v>
      </c>
      <c r="AF154">
        <v>2.7779878841252668</v>
      </c>
      <c r="AG154">
        <v>3.0750838063822385</v>
      </c>
      <c r="AH154">
        <v>3.3050904681664548</v>
      </c>
      <c r="AI154">
        <v>2.6419323551217389</v>
      </c>
      <c r="AJ154">
        <v>2.5419390472432468</v>
      </c>
      <c r="AK154">
        <v>2.1334502431116249</v>
      </c>
      <c r="AL154">
        <v>1.552856935693427</v>
      </c>
      <c r="AM154">
        <v>1.3448079828820738</v>
      </c>
      <c r="AN154">
        <v>1.3079249354460245</v>
      </c>
      <c r="AO154">
        <v>1.6044446073881318</v>
      </c>
      <c r="AP154">
        <v>1.013341965532689</v>
      </c>
      <c r="AQ154">
        <v>0.90091182394394309</v>
      </c>
      <c r="AR154">
        <v>4.7273658366009386E-2</v>
      </c>
      <c r="AS154">
        <v>1.3985756033712846</v>
      </c>
      <c r="AT154">
        <v>1.6488453219811561</v>
      </c>
      <c r="AU154">
        <v>2.3792208072283927</v>
      </c>
      <c r="AV154">
        <v>1.8812838497410951</v>
      </c>
      <c r="AW154">
        <v>-0.24125207421683115</v>
      </c>
      <c r="AX154">
        <v>2.0344015985666317</v>
      </c>
      <c r="AY154">
        <v>2.1469262762868766</v>
      </c>
      <c r="AZ154">
        <v>2.5566972739496236</v>
      </c>
      <c r="BA154">
        <v>2.363248108852801</v>
      </c>
      <c r="BB154">
        <v>0.11899442981722075</v>
      </c>
      <c r="BC154">
        <v>1.0694619604608278</v>
      </c>
      <c r="BD154">
        <v>0.94801899555989166</v>
      </c>
      <c r="BE154">
        <v>1.1615664969420152</v>
      </c>
      <c r="BF154">
        <v>0.7783547450784738</v>
      </c>
      <c r="BG154">
        <v>0.58684116777052964</v>
      </c>
      <c r="BH154">
        <v>1.1334134592350722</v>
      </c>
      <c r="BI154">
        <v>0.51633173293095069</v>
      </c>
      <c r="BJ154">
        <v>0.58745239866371435</v>
      </c>
      <c r="BK154">
        <v>1.1147767446366004</v>
      </c>
      <c r="BL154">
        <v>1.209211631067177</v>
      </c>
      <c r="BM154">
        <v>2.9793040709574825</v>
      </c>
      <c r="BN154">
        <v>1.2217301364728144</v>
      </c>
      <c r="BO154">
        <v>3.2209528676735459</v>
      </c>
      <c r="BP154">
        <v>5.3029014428664283</v>
      </c>
    </row>
    <row r="155" spans="1:69" hidden="1" x14ac:dyDescent="0.2">
      <c r="A155" t="s">
        <v>371</v>
      </c>
      <c r="B155" t="s">
        <v>372</v>
      </c>
      <c r="C155" t="s">
        <v>71</v>
      </c>
      <c r="D155" t="s">
        <v>72</v>
      </c>
      <c r="AJ155">
        <v>139.82680693031961</v>
      </c>
      <c r="AK155">
        <v>945.03052195482132</v>
      </c>
      <c r="AL155">
        <v>860.45722129103433</v>
      </c>
      <c r="AM155">
        <v>276.44112747184136</v>
      </c>
      <c r="AN155">
        <v>38.737520376822403</v>
      </c>
      <c r="AO155">
        <v>27.851977344564702</v>
      </c>
      <c r="AP155">
        <v>12.502939817054241</v>
      </c>
      <c r="AQ155">
        <v>9.4617301717161268</v>
      </c>
      <c r="AR155">
        <v>39.781666013611613</v>
      </c>
      <c r="AS155">
        <v>27.328751985975956</v>
      </c>
      <c r="AT155">
        <v>12.089250973368109</v>
      </c>
      <c r="AU155">
        <v>9.8274020637106645</v>
      </c>
      <c r="AV155">
        <v>14.865972461699471</v>
      </c>
      <c r="AW155">
        <v>7.9870868570528017</v>
      </c>
      <c r="AX155">
        <v>9.3441440759300889</v>
      </c>
      <c r="AY155">
        <v>13.418141240361734</v>
      </c>
      <c r="AZ155">
        <v>15.90871496183523</v>
      </c>
      <c r="BA155">
        <v>9.2442488257698017</v>
      </c>
      <c r="BB155">
        <v>2.1693917045123783</v>
      </c>
      <c r="BC155">
        <v>33.304932097798428</v>
      </c>
      <c r="BD155">
        <v>8.1907985986224219</v>
      </c>
      <c r="BE155">
        <v>7.4242220199752182</v>
      </c>
      <c r="BF155">
        <v>3.9238512218232557</v>
      </c>
      <c r="BG155">
        <v>5.1432072170292287</v>
      </c>
      <c r="BH155">
        <v>11.574314959116847</v>
      </c>
      <c r="BI155">
        <v>3.5508738308870988</v>
      </c>
      <c r="BJ155">
        <v>6.2524664914329833</v>
      </c>
      <c r="BK155">
        <v>3.2110321322372783</v>
      </c>
      <c r="BL155">
        <v>5.3517120034664885</v>
      </c>
      <c r="BM155">
        <v>5.5750094009650724</v>
      </c>
      <c r="BN155">
        <v>6.3817285513401885</v>
      </c>
      <c r="BO155">
        <v>18.85532302729105</v>
      </c>
      <c r="BP155">
        <v>9.2778242250747951</v>
      </c>
      <c r="BQ155">
        <v>6.5653569935269189</v>
      </c>
    </row>
    <row r="156" spans="1:69" hidden="1" x14ac:dyDescent="0.2">
      <c r="A156" t="s">
        <v>373</v>
      </c>
      <c r="B156" t="s">
        <v>374</v>
      </c>
      <c r="C156" t="s">
        <v>71</v>
      </c>
      <c r="D156" t="s">
        <v>72</v>
      </c>
      <c r="F156">
        <v>1.7894557449845081</v>
      </c>
      <c r="G156">
        <v>3.3909283954068599</v>
      </c>
      <c r="H156">
        <v>3.6768587815881943</v>
      </c>
      <c r="I156">
        <v>1.652713092614789</v>
      </c>
      <c r="J156">
        <v>4.3450483528301618</v>
      </c>
      <c r="K156">
        <v>5.817270512788113</v>
      </c>
      <c r="L156">
        <v>0.67372470628069436</v>
      </c>
      <c r="M156">
        <v>0.97085132189312162</v>
      </c>
      <c r="N156">
        <v>3.8643468368338034</v>
      </c>
      <c r="O156">
        <v>6.9045628503990457</v>
      </c>
      <c r="P156">
        <v>3.588168432693422</v>
      </c>
      <c r="Q156">
        <v>3.0243349510774067</v>
      </c>
      <c r="R156">
        <v>11.900875807588321</v>
      </c>
      <c r="S156">
        <v>22.804435069898574</v>
      </c>
      <c r="T156">
        <v>4.6910461492212221</v>
      </c>
      <c r="U156">
        <v>9.9270944529783662</v>
      </c>
      <c r="V156">
        <v>8.5939075493678416</v>
      </c>
      <c r="W156">
        <v>6.7948676240704202</v>
      </c>
      <c r="X156">
        <v>11.326522789661425</v>
      </c>
      <c r="Y156">
        <v>47.760907955602562</v>
      </c>
      <c r="Z156">
        <v>30.45685279448054</v>
      </c>
      <c r="AA156">
        <v>31.906614785320386</v>
      </c>
      <c r="AB156">
        <v>19.469026551055009</v>
      </c>
      <c r="AC156">
        <v>9.7204708537204567</v>
      </c>
      <c r="AD156">
        <v>10.566050327174196</v>
      </c>
      <c r="AE156">
        <v>14.492324376196052</v>
      </c>
      <c r="AF156">
        <v>15.460832553854956</v>
      </c>
      <c r="AG156">
        <v>26.337557140573708</v>
      </c>
      <c r="AH156">
        <v>9.0167883725351459</v>
      </c>
      <c r="AI156">
        <v>11.858705769931419</v>
      </c>
      <c r="AJ156">
        <v>8.5401828966237474</v>
      </c>
      <c r="AK156">
        <v>14.56728513923558</v>
      </c>
      <c r="AL156">
        <v>9.9899165237621617</v>
      </c>
      <c r="AM156">
        <v>38.992130570124743</v>
      </c>
      <c r="AN156">
        <v>49.036119126847638</v>
      </c>
      <c r="AO156">
        <v>19.760816386821276</v>
      </c>
      <c r="AP156">
        <v>4.4919734241551765</v>
      </c>
      <c r="AQ156">
        <v>6.2099695419688032</v>
      </c>
      <c r="AR156">
        <v>7.1891429470469603</v>
      </c>
      <c r="AS156">
        <v>11.570352966941286</v>
      </c>
      <c r="AT156">
        <v>7.9169448389372974</v>
      </c>
      <c r="AU156">
        <v>16.498525534896984</v>
      </c>
      <c r="AV156">
        <v>-1.7040047987300682</v>
      </c>
      <c r="AW156">
        <v>13.955801803389932</v>
      </c>
      <c r="AX156">
        <v>18.3638246481935</v>
      </c>
      <c r="AY156">
        <v>10.765637160438587</v>
      </c>
      <c r="AZ156">
        <v>10.287966315995007</v>
      </c>
      <c r="BA156">
        <v>7.4863002764100202</v>
      </c>
      <c r="BB156">
        <v>6.929159085308001</v>
      </c>
      <c r="BC156">
        <v>10.218541029330282</v>
      </c>
      <c r="BD156">
        <v>10.386187135887496</v>
      </c>
      <c r="BE156">
        <v>5.4661748633336913</v>
      </c>
      <c r="BF156">
        <v>5.452302454911802</v>
      </c>
      <c r="BG156">
        <v>6.7317708095171014</v>
      </c>
      <c r="BH156">
        <v>6.5037166915161038</v>
      </c>
      <c r="BI156">
        <v>8.9600807299204064</v>
      </c>
      <c r="BJ156">
        <v>4.9615397560154264</v>
      </c>
      <c r="BK156">
        <v>8.2979933109484278</v>
      </c>
      <c r="BL156">
        <v>6.5220906407727881</v>
      </c>
      <c r="BM156">
        <v>4.3111451358348774</v>
      </c>
      <c r="BN156">
        <v>6.2695979602480918</v>
      </c>
      <c r="BO156">
        <v>9.6260573370640259</v>
      </c>
      <c r="BP156">
        <v>7.4651494047254232</v>
      </c>
      <c r="BQ156">
        <v>7.6272348183282332</v>
      </c>
    </row>
    <row r="157" spans="1:69" hidden="1" x14ac:dyDescent="0.2">
      <c r="A157" t="s">
        <v>375</v>
      </c>
      <c r="B157" t="s">
        <v>376</v>
      </c>
      <c r="C157" t="s">
        <v>71</v>
      </c>
      <c r="D157" t="s">
        <v>72</v>
      </c>
      <c r="P157">
        <v>5.6116721507595884</v>
      </c>
      <c r="Q157">
        <v>5.3043110735714833</v>
      </c>
      <c r="R157">
        <v>10.181958843998842</v>
      </c>
      <c r="S157">
        <v>18.087817103007239</v>
      </c>
      <c r="T157">
        <v>-7.3785959617481467E-2</v>
      </c>
      <c r="U157">
        <v>31.685689009149854</v>
      </c>
      <c r="V157">
        <v>-12.212761164861845</v>
      </c>
      <c r="W157">
        <v>4.2178151653450584</v>
      </c>
      <c r="X157">
        <v>19.279759992039459</v>
      </c>
      <c r="Y157">
        <v>-6.2929633728254117</v>
      </c>
      <c r="Z157">
        <v>-5.6423810673283015</v>
      </c>
      <c r="AA157">
        <v>4.8135197671796561</v>
      </c>
      <c r="AB157">
        <v>2.0339499434293202</v>
      </c>
      <c r="AC157">
        <v>49.150650919504102</v>
      </c>
      <c r="AD157">
        <v>1.3230063571565012</v>
      </c>
      <c r="AE157">
        <v>2.76434691938816</v>
      </c>
      <c r="AF157">
        <v>17.960774156011766</v>
      </c>
      <c r="AG157">
        <v>4.5323204783563682</v>
      </c>
      <c r="AH157">
        <v>5.8651498448817563</v>
      </c>
      <c r="AI157">
        <v>2.5071271821137913</v>
      </c>
      <c r="AJ157">
        <v>20.2552482807193</v>
      </c>
      <c r="AK157">
        <v>12.643016362980845</v>
      </c>
      <c r="AL157">
        <v>11.153806148173956</v>
      </c>
      <c r="AM157">
        <v>8.3603502830782901</v>
      </c>
      <c r="AN157">
        <v>0.76765776508239014</v>
      </c>
      <c r="AO157">
        <v>4.6563294878321386</v>
      </c>
      <c r="AP157">
        <v>4.100414098952939</v>
      </c>
      <c r="AQ157">
        <v>-1.1379830778215307</v>
      </c>
      <c r="AR157">
        <v>2.7533066129381609</v>
      </c>
      <c r="AS157">
        <v>2.0324126087627405</v>
      </c>
      <c r="AT157">
        <v>50.892827440215484</v>
      </c>
      <c r="AU157">
        <v>0.49753512584493365</v>
      </c>
      <c r="AV157">
        <v>3.1113668275342832</v>
      </c>
      <c r="AW157">
        <v>10.083058822701148</v>
      </c>
      <c r="AX157">
        <v>6.7595862444691335</v>
      </c>
      <c r="AY157">
        <v>9.5206338223498506</v>
      </c>
      <c r="AZ157">
        <v>10.714727526536862</v>
      </c>
      <c r="BA157">
        <v>11.568604609081319</v>
      </c>
      <c r="BB157">
        <v>12.636778854309</v>
      </c>
      <c r="BC157">
        <v>3.3437473303287391</v>
      </c>
      <c r="BD157">
        <v>12.348655855087827</v>
      </c>
      <c r="BE157">
        <v>6.9105376591075469</v>
      </c>
      <c r="BF157">
        <v>6.7349090025699923</v>
      </c>
      <c r="BG157">
        <v>4.1256367873248507</v>
      </c>
      <c r="BH157">
        <v>7.43047521687798</v>
      </c>
      <c r="BI157">
        <v>0.40443077095302726</v>
      </c>
      <c r="BJ157">
        <v>2.1246091536609697</v>
      </c>
      <c r="BK157">
        <v>3.3764425291770408</v>
      </c>
      <c r="BL157">
        <v>-0.9633569075231776</v>
      </c>
      <c r="BM157">
        <v>-3.3653246839872821</v>
      </c>
      <c r="BN157">
        <v>2.8286619313934409</v>
      </c>
      <c r="BO157">
        <v>3.412926223062172</v>
      </c>
      <c r="BP157">
        <v>1.8842540128070908</v>
      </c>
      <c r="BQ157">
        <v>0.67780458954376854</v>
      </c>
    </row>
    <row r="158" spans="1:69" hidden="1" x14ac:dyDescent="0.2">
      <c r="A158" t="s">
        <v>377</v>
      </c>
      <c r="B158" t="s">
        <v>378</v>
      </c>
      <c r="C158" t="s">
        <v>71</v>
      </c>
      <c r="D158" t="s">
        <v>72</v>
      </c>
      <c r="L158">
        <v>1.854840892261123</v>
      </c>
      <c r="M158">
        <v>1.5652695126456848</v>
      </c>
      <c r="N158">
        <v>1.0648241461967274</v>
      </c>
      <c r="O158">
        <v>3.5880257240047797</v>
      </c>
      <c r="P158">
        <v>10.029011010902437</v>
      </c>
      <c r="Q158">
        <v>2.8867235663544903</v>
      </c>
      <c r="R158">
        <v>15.301473539195314</v>
      </c>
      <c r="S158">
        <v>41.479476203023722</v>
      </c>
      <c r="T158">
        <v>5.9140221098810315</v>
      </c>
      <c r="U158">
        <v>10.840592723972847</v>
      </c>
      <c r="V158">
        <v>10.638816212971925</v>
      </c>
      <c r="W158">
        <v>5.3126891565422696</v>
      </c>
      <c r="X158">
        <v>21.385860727329167</v>
      </c>
      <c r="Y158">
        <v>25.010060175486252</v>
      </c>
      <c r="Z158">
        <v>9.9936548045677611</v>
      </c>
      <c r="AA158">
        <v>4.8700219849838504</v>
      </c>
      <c r="AB158">
        <v>4.7020564460395633</v>
      </c>
      <c r="AC158">
        <v>4.3463589860856899</v>
      </c>
      <c r="AD158">
        <v>2.6430847168250153</v>
      </c>
      <c r="AE158">
        <v>2.8486720450670475</v>
      </c>
      <c r="AF158">
        <v>8.2895606763603951</v>
      </c>
      <c r="AG158">
        <v>4.1773253000429307</v>
      </c>
      <c r="AH158">
        <v>8.4015892745217258</v>
      </c>
      <c r="AI158">
        <v>12.746316604425019</v>
      </c>
      <c r="AJ158">
        <v>6.2360295196523481</v>
      </c>
      <c r="AK158">
        <v>6.2151130086675863</v>
      </c>
      <c r="AL158">
        <v>3.8631629175192117</v>
      </c>
      <c r="AM158">
        <v>7.0964597959469984</v>
      </c>
      <c r="AN158">
        <v>7.7853788069779881</v>
      </c>
      <c r="AO158">
        <v>7.1076674485611875</v>
      </c>
      <c r="AP158">
        <v>2.7571222493304219</v>
      </c>
      <c r="AQ158">
        <v>-3.131088699360447</v>
      </c>
      <c r="AR158">
        <v>7.4421967726855769</v>
      </c>
      <c r="AS158">
        <v>11.909172938978443</v>
      </c>
      <c r="AT158">
        <v>1.249585897494903</v>
      </c>
      <c r="AU158">
        <v>3.7271245866032316</v>
      </c>
      <c r="AV158">
        <v>4.7819428720731381</v>
      </c>
      <c r="AW158">
        <v>10.679945695119365</v>
      </c>
      <c r="AX158">
        <v>12.156021156030334</v>
      </c>
      <c r="AY158">
        <v>8.9694718276589214</v>
      </c>
      <c r="AZ158">
        <v>8.0526367321918713</v>
      </c>
      <c r="BA158">
        <v>16.479240691772034</v>
      </c>
      <c r="BB158">
        <v>-2.4718137334277301</v>
      </c>
      <c r="BC158">
        <v>10.845997421904215</v>
      </c>
      <c r="BD158">
        <v>14.235593688482922</v>
      </c>
      <c r="BE158">
        <v>5.2864420270112475</v>
      </c>
      <c r="BF158">
        <v>2.0649428837487278</v>
      </c>
      <c r="BG158">
        <v>1.3297387508825977</v>
      </c>
      <c r="BH158">
        <v>1.7393488019640415</v>
      </c>
      <c r="BI158">
        <v>0.85668822405186518</v>
      </c>
      <c r="BJ158">
        <v>4.7138856938937721</v>
      </c>
      <c r="BK158">
        <v>6.1646783638916247</v>
      </c>
      <c r="BL158">
        <v>1.9164007843925077</v>
      </c>
      <c r="BM158">
        <v>0.58071954807013526</v>
      </c>
      <c r="BN158">
        <v>12.141050275948444</v>
      </c>
      <c r="BO158">
        <v>12.629893687412761</v>
      </c>
      <c r="BP158">
        <v>1.8279159257534161</v>
      </c>
      <c r="BQ158">
        <v>4.3696812576486082</v>
      </c>
    </row>
    <row r="159" spans="1:69" hidden="1" x14ac:dyDescent="0.2">
      <c r="A159" t="s">
        <v>379</v>
      </c>
      <c r="B159" t="s">
        <v>380</v>
      </c>
      <c r="C159" t="s">
        <v>71</v>
      </c>
      <c r="D159" t="s">
        <v>72</v>
      </c>
      <c r="F159">
        <v>3.4180543375875487</v>
      </c>
      <c r="G159">
        <v>2.5607730232056696</v>
      </c>
      <c r="H159">
        <v>3.2116921867658874</v>
      </c>
      <c r="I159">
        <v>5.8002035332769992</v>
      </c>
      <c r="J159">
        <v>1.5545660519247377</v>
      </c>
      <c r="K159">
        <v>4.9569872073726771</v>
      </c>
      <c r="L159">
        <v>3.170000300555472</v>
      </c>
      <c r="M159">
        <v>1.0225336587082978</v>
      </c>
      <c r="N159">
        <v>6.9698115988581151</v>
      </c>
      <c r="O159">
        <v>2.6826809745606397</v>
      </c>
      <c r="P159">
        <v>6.3586505049548947</v>
      </c>
      <c r="Q159">
        <v>6.5392156785901676</v>
      </c>
      <c r="R159">
        <v>13.387368046774611</v>
      </c>
      <c r="S159">
        <v>23.132848347807425</v>
      </c>
      <c r="T159">
        <v>15.582597206862388</v>
      </c>
      <c r="U159">
        <v>19.363545686589177</v>
      </c>
      <c r="V159">
        <v>30.442235758768817</v>
      </c>
      <c r="W159">
        <v>16.002378529003806</v>
      </c>
      <c r="X159">
        <v>19.673298007918149</v>
      </c>
      <c r="Y159">
        <v>41.405137156632094</v>
      </c>
      <c r="Z159">
        <v>25.075547620241039</v>
      </c>
      <c r="AA159">
        <v>61.081118472989147</v>
      </c>
      <c r="AB159">
        <v>88.859881167230952</v>
      </c>
      <c r="AC159">
        <v>59.264631228677558</v>
      </c>
      <c r="AD159">
        <v>59.14951622990074</v>
      </c>
      <c r="AE159">
        <v>70.85101727124632</v>
      </c>
      <c r="AF159">
        <v>142.02533872387821</v>
      </c>
      <c r="AG159">
        <v>100.57598632182604</v>
      </c>
      <c r="AH159">
        <v>27.39440044147139</v>
      </c>
      <c r="AI159">
        <v>28.105912393932044</v>
      </c>
      <c r="AJ159">
        <v>23.713257512583372</v>
      </c>
      <c r="AK159">
        <v>14.81388557810179</v>
      </c>
      <c r="AL159">
        <v>42.867623229014555</v>
      </c>
      <c r="AM159">
        <v>8.3606272870271283</v>
      </c>
      <c r="AN159">
        <v>38.809229399771198</v>
      </c>
      <c r="AO159">
        <v>26.696773997590626</v>
      </c>
      <c r="AP159">
        <v>17.73369115346803</v>
      </c>
      <c r="AQ159">
        <v>15.716055443006937</v>
      </c>
      <c r="AR159">
        <v>15.319081335582126</v>
      </c>
      <c r="AS159">
        <v>10.697964546781265</v>
      </c>
      <c r="AT159">
        <v>6.4730091492810402</v>
      </c>
      <c r="AU159">
        <v>5.5023241137778456</v>
      </c>
      <c r="AV159">
        <v>4.2796672609690631</v>
      </c>
      <c r="AW159">
        <v>8.1174431280669666</v>
      </c>
      <c r="AX159">
        <v>5.8849827561341357</v>
      </c>
      <c r="AY159">
        <v>6.1071543587712256</v>
      </c>
      <c r="AZ159">
        <v>6.1277921408201053</v>
      </c>
      <c r="BA159">
        <v>6.3103816429106274</v>
      </c>
      <c r="BB159">
        <v>5.2434824260259632</v>
      </c>
      <c r="BC159">
        <v>4.3729643907386588</v>
      </c>
      <c r="BD159">
        <v>5.6696336974691377</v>
      </c>
      <c r="BE159">
        <v>4.5422149162793346</v>
      </c>
      <c r="BF159">
        <v>1.7038828201061165</v>
      </c>
      <c r="BG159">
        <v>4.3683689166563511</v>
      </c>
      <c r="BH159">
        <v>3.2254288978534191</v>
      </c>
      <c r="BI159">
        <v>6.0775878221606092</v>
      </c>
      <c r="BJ159">
        <v>6.5675949206290767</v>
      </c>
      <c r="BK159">
        <v>5.2044999876930405</v>
      </c>
      <c r="BL159">
        <v>4.3190102366530141</v>
      </c>
      <c r="BM159">
        <v>4.6197901234440906</v>
      </c>
      <c r="BN159">
        <v>4.4879727276383932</v>
      </c>
      <c r="BO159">
        <v>6.6312200899169653</v>
      </c>
      <c r="BP159">
        <v>4.4831157778812525</v>
      </c>
      <c r="BQ159">
        <v>4.9354086925790028</v>
      </c>
    </row>
    <row r="160" spans="1:69" hidden="1" x14ac:dyDescent="0.2">
      <c r="A160" t="s">
        <v>381</v>
      </c>
      <c r="B160" t="s">
        <v>382</v>
      </c>
      <c r="C160" t="s">
        <v>71</v>
      </c>
      <c r="D160" t="s">
        <v>72</v>
      </c>
      <c r="P160">
        <v>5.9759671679812385</v>
      </c>
      <c r="Q160">
        <v>8.2276326050715767</v>
      </c>
      <c r="R160">
        <v>-13.098939314036727</v>
      </c>
      <c r="S160">
        <v>13.682621314126436</v>
      </c>
      <c r="T160">
        <v>9.6186217663187392</v>
      </c>
      <c r="U160">
        <v>8.3695505541934665</v>
      </c>
      <c r="V160">
        <v>8.6865266637234697</v>
      </c>
      <c r="W160">
        <v>4.0414094460940362</v>
      </c>
      <c r="X160">
        <v>12.615860567623542</v>
      </c>
      <c r="Y160">
        <v>12.668466426555455</v>
      </c>
      <c r="Z160">
        <v>9.1105263293973735</v>
      </c>
      <c r="AA160">
        <v>7.378390526045365</v>
      </c>
      <c r="AB160">
        <v>3.5105551689746903</v>
      </c>
      <c r="AC160">
        <v>4.1071238247607056</v>
      </c>
      <c r="AD160">
        <v>3.6857773206755411</v>
      </c>
      <c r="AE160">
        <v>2.4538810075898567</v>
      </c>
      <c r="AF160">
        <v>2.8601665201734505</v>
      </c>
      <c r="AG160">
        <v>4.1232512988778325</v>
      </c>
      <c r="AH160">
        <v>4.7570268608402984</v>
      </c>
      <c r="AI160">
        <v>4.9898768786237042</v>
      </c>
      <c r="AJ160">
        <v>5.0443740355291737</v>
      </c>
      <c r="AK160">
        <v>3.0139270606608761</v>
      </c>
      <c r="AL160">
        <v>3.0337240195667476</v>
      </c>
      <c r="AM160">
        <v>2.6246905646726333</v>
      </c>
      <c r="AN160">
        <v>2.8070881538000663</v>
      </c>
      <c r="AO160">
        <v>2.7959646788531529</v>
      </c>
      <c r="AP160">
        <v>5.9513075158205311</v>
      </c>
      <c r="AQ160">
        <v>2.6809802741859983</v>
      </c>
      <c r="AR160">
        <v>2.512179055828085</v>
      </c>
      <c r="AS160">
        <v>-1.1157329105915039</v>
      </c>
      <c r="AT160">
        <v>-0.31821588301255588</v>
      </c>
      <c r="AU160">
        <v>4.0230259457290458</v>
      </c>
      <c r="AV160">
        <v>0.9463386533556104</v>
      </c>
      <c r="AW160">
        <v>1.7665341032969906</v>
      </c>
      <c r="AX160">
        <v>2.0104194938535471</v>
      </c>
      <c r="AY160">
        <v>3.5858534433017724</v>
      </c>
      <c r="AZ160">
        <v>1.359109678274109</v>
      </c>
      <c r="BA160">
        <v>5.3822221590828434</v>
      </c>
      <c r="BB160">
        <v>-0.50880254939902159</v>
      </c>
      <c r="BC160">
        <v>0.95550503841961643</v>
      </c>
      <c r="BD160">
        <v>7.4923662446939829</v>
      </c>
      <c r="BE160">
        <v>6.2465252080585998</v>
      </c>
      <c r="BF160">
        <v>-0.63056472001605357</v>
      </c>
      <c r="BG160">
        <v>1.0583219669649111</v>
      </c>
      <c r="BH160">
        <v>-3.0645161290322562</v>
      </c>
      <c r="BI160">
        <v>7.169410515135425</v>
      </c>
      <c r="BJ160">
        <v>2.2584178292800487</v>
      </c>
      <c r="BK160">
        <v>-2.4070427081795316</v>
      </c>
      <c r="BL160">
        <v>-4.1542693661971839</v>
      </c>
      <c r="BM160">
        <v>6.7823364389521572</v>
      </c>
      <c r="BN160">
        <v>5.7790520115235751</v>
      </c>
      <c r="BO160">
        <v>-1.0176827509630328</v>
      </c>
      <c r="BP160">
        <v>6.5197494860852885</v>
      </c>
      <c r="BQ160">
        <v>5.2058156731846168</v>
      </c>
    </row>
    <row r="161" spans="1:69" hidden="1" x14ac:dyDescent="0.2">
      <c r="A161" t="s">
        <v>383</v>
      </c>
      <c r="B161" t="s">
        <v>384</v>
      </c>
      <c r="C161" t="s">
        <v>71</v>
      </c>
      <c r="D161" t="s">
        <v>72</v>
      </c>
      <c r="G161">
        <v>2.3225304646927327</v>
      </c>
      <c r="H161">
        <v>2.3410232723279236</v>
      </c>
      <c r="I161">
        <v>2.8482345255268129</v>
      </c>
      <c r="J161">
        <v>2.8735050103110851</v>
      </c>
      <c r="K161">
        <v>3.5936408271235507</v>
      </c>
      <c r="L161">
        <v>2.381563624017204</v>
      </c>
      <c r="M161">
        <v>2.415383585082381</v>
      </c>
      <c r="N161">
        <v>3.2005311796891078</v>
      </c>
      <c r="O161">
        <v>3.7083530222193417</v>
      </c>
      <c r="P161">
        <v>4.8640418260776883</v>
      </c>
      <c r="Q161">
        <v>6.4512021847760579</v>
      </c>
      <c r="R161">
        <v>13.307668507543696</v>
      </c>
      <c r="S161">
        <v>19.897881460024927</v>
      </c>
      <c r="T161">
        <v>9.549112853813881</v>
      </c>
      <c r="U161">
        <v>9.4937135965549118</v>
      </c>
      <c r="V161">
        <v>10.02608199288661</v>
      </c>
      <c r="W161">
        <v>8.6997794872715843</v>
      </c>
      <c r="X161">
        <v>13.01533000038112</v>
      </c>
      <c r="Y161">
        <v>13.884404422752141</v>
      </c>
      <c r="Z161">
        <v>9.1105263293973735</v>
      </c>
      <c r="AA161">
        <v>7.8651663091366686</v>
      </c>
      <c r="AB161">
        <v>8.5528596022411278</v>
      </c>
      <c r="AC161">
        <v>8.7665938913587382</v>
      </c>
      <c r="AD161">
        <v>7.1325701017268202</v>
      </c>
      <c r="AE161">
        <v>6.3289879848177151</v>
      </c>
      <c r="AF161">
        <v>8.3413821021147001</v>
      </c>
      <c r="AG161">
        <v>8.6467394228533649</v>
      </c>
      <c r="AH161">
        <v>8.5850480171934436</v>
      </c>
      <c r="AI161">
        <v>10.583630703260582</v>
      </c>
      <c r="AJ161">
        <v>14.610258813735683</v>
      </c>
      <c r="AK161">
        <v>11.188250506507714</v>
      </c>
      <c r="AL161">
        <v>11.912884772115632</v>
      </c>
      <c r="AM161">
        <v>15.008719392715463</v>
      </c>
      <c r="AN161">
        <v>10.758662511611405</v>
      </c>
      <c r="AO161">
        <v>8.6967671174354564</v>
      </c>
      <c r="AP161">
        <v>7.2790929776352016</v>
      </c>
      <c r="AQ161">
        <v>6.9358620045837469</v>
      </c>
      <c r="AR161">
        <v>6.758538539326878</v>
      </c>
      <c r="AS161">
        <v>7.0240796914531032</v>
      </c>
      <c r="AT161">
        <v>6.0748856892994141</v>
      </c>
      <c r="AU161">
        <v>4.6405327570926076</v>
      </c>
      <c r="AV161">
        <v>5.5133832922082462</v>
      </c>
      <c r="AW161">
        <v>7.031475657671713</v>
      </c>
      <c r="AX161">
        <v>6.5180127968924282</v>
      </c>
      <c r="AY161">
        <v>8.1058165868633552</v>
      </c>
      <c r="AZ161">
        <v>7.0794687515711061</v>
      </c>
      <c r="BA161">
        <v>9.5005860606972448</v>
      </c>
      <c r="BB161">
        <v>2.7382585664238235</v>
      </c>
      <c r="BC161">
        <v>7.0092836025974066</v>
      </c>
      <c r="BD161">
        <v>7.8072052366428011</v>
      </c>
      <c r="BE161">
        <v>4.7855698106675391</v>
      </c>
      <c r="BF161">
        <v>3.4551789353903359</v>
      </c>
      <c r="BG161">
        <v>3.3155630187845873</v>
      </c>
      <c r="BH161">
        <v>2.8110285928946439</v>
      </c>
      <c r="BI161">
        <v>2.67571807418269</v>
      </c>
      <c r="BJ161">
        <v>3.9995019633895836</v>
      </c>
      <c r="BK161">
        <v>3.6836505652466514</v>
      </c>
      <c r="BL161">
        <v>2.9272184326424977</v>
      </c>
      <c r="BM161">
        <v>2.7173506203978377</v>
      </c>
      <c r="BN161">
        <v>6.0597565760951397</v>
      </c>
      <c r="BO161">
        <v>8.2517323848914472</v>
      </c>
      <c r="BP161">
        <v>5.831438405295259</v>
      </c>
      <c r="BQ161">
        <v>4.1702763505420108</v>
      </c>
    </row>
    <row r="162" spans="1:69" hidden="1" x14ac:dyDescent="0.2">
      <c r="A162" t="s">
        <v>385</v>
      </c>
      <c r="B162" t="s">
        <v>386</v>
      </c>
      <c r="C162" t="s">
        <v>71</v>
      </c>
      <c r="D162" t="s">
        <v>72</v>
      </c>
      <c r="AJ162">
        <v>93.921321380493652</v>
      </c>
      <c r="AK162">
        <v>1271.6640396285734</v>
      </c>
      <c r="AL162">
        <v>442.12942247634203</v>
      </c>
      <c r="AM162">
        <v>151.8857061904809</v>
      </c>
      <c r="AN162">
        <v>17.091616310902253</v>
      </c>
      <c r="AO162">
        <v>2.8648209316499873</v>
      </c>
      <c r="AP162">
        <v>3.9292888281311491</v>
      </c>
      <c r="AQ162">
        <v>1.3917089531507969</v>
      </c>
      <c r="AR162">
        <v>2.7380669156244579</v>
      </c>
      <c r="AS162">
        <v>8.1783831596027596</v>
      </c>
      <c r="AT162">
        <v>4.7189609721348518</v>
      </c>
      <c r="AU162">
        <v>0.94396684227436367</v>
      </c>
      <c r="AV162">
        <v>1.6516489673794439</v>
      </c>
      <c r="AW162">
        <v>-0.16604205392737015</v>
      </c>
      <c r="AX162">
        <v>4.895899368202123</v>
      </c>
      <c r="AY162">
        <v>3.2526241782097571</v>
      </c>
      <c r="AZ162">
        <v>4.5925525690303317</v>
      </c>
      <c r="BA162">
        <v>5.4911940360027387</v>
      </c>
      <c r="BB162">
        <v>0.29507761420927636</v>
      </c>
      <c r="BC162">
        <v>2.04128302301487</v>
      </c>
      <c r="BD162">
        <v>3.7221723401057432</v>
      </c>
      <c r="BE162">
        <v>1.0029982667243473</v>
      </c>
      <c r="BF162">
        <v>4.4832931537793144</v>
      </c>
      <c r="BG162">
        <v>1.4469678575990201</v>
      </c>
      <c r="BH162">
        <v>2.003420845782415</v>
      </c>
      <c r="BI162">
        <v>3.4652528565308813</v>
      </c>
      <c r="BJ162">
        <v>2.8070270353903766</v>
      </c>
      <c r="BK162">
        <v>3.9261552893668181</v>
      </c>
      <c r="BL162">
        <v>0.86816868476068976</v>
      </c>
      <c r="BM162">
        <v>1.3742807182513701</v>
      </c>
      <c r="BN162">
        <v>4.2855253146197185</v>
      </c>
      <c r="BO162">
        <v>8.8736873252366308</v>
      </c>
      <c r="BP162">
        <v>7.7665660825048946</v>
      </c>
      <c r="BQ162">
        <v>2.8695057415494318</v>
      </c>
    </row>
    <row r="163" spans="1:69" hidden="1" x14ac:dyDescent="0.2">
      <c r="A163" t="s">
        <v>387</v>
      </c>
      <c r="B163" t="s">
        <v>388</v>
      </c>
      <c r="C163" t="s">
        <v>71</v>
      </c>
      <c r="D163" t="s">
        <v>72</v>
      </c>
      <c r="M163">
        <v>21.086447501990577</v>
      </c>
      <c r="N163">
        <v>3.5893560890207823</v>
      </c>
      <c r="O163">
        <v>6.02974468168334</v>
      </c>
      <c r="P163">
        <v>6.6954400888875654</v>
      </c>
      <c r="Q163">
        <v>6.472314206986681</v>
      </c>
      <c r="R163">
        <v>3.9572327704814967</v>
      </c>
      <c r="S163">
        <v>4.8180473136316664</v>
      </c>
      <c r="T163">
        <v>22.989138253001499</v>
      </c>
      <c r="U163">
        <v>10.946337651733899</v>
      </c>
      <c r="V163">
        <v>8.0639464292397491</v>
      </c>
      <c r="W163">
        <v>8.562151174611472</v>
      </c>
      <c r="X163">
        <v>11.421245087751728</v>
      </c>
      <c r="Y163">
        <v>14.501653026748755</v>
      </c>
      <c r="Z163">
        <v>10.808507350147863</v>
      </c>
      <c r="AA163">
        <v>13.153699688695596</v>
      </c>
      <c r="AB163">
        <v>10.817400274057803</v>
      </c>
      <c r="AC163">
        <v>9.2519978498074522</v>
      </c>
      <c r="AD163">
        <v>-3.4824903286304334</v>
      </c>
      <c r="AE163">
        <v>-0.13830009711507785</v>
      </c>
      <c r="AF163">
        <v>-1.9065324223787314</v>
      </c>
      <c r="AG163">
        <v>-4.2529315547914734</v>
      </c>
      <c r="AH163">
        <v>3.4153784756096854</v>
      </c>
      <c r="AI163">
        <v>7.6021126514211659</v>
      </c>
      <c r="AJ163">
        <v>-5.816057298641681</v>
      </c>
      <c r="AK163">
        <v>0.73881682402854665</v>
      </c>
      <c r="AL163">
        <v>3.2350941551597714</v>
      </c>
      <c r="AM163">
        <v>39.562351908417156</v>
      </c>
      <c r="AN163">
        <v>15.808983897355148</v>
      </c>
      <c r="AO163">
        <v>-1.652119196362591</v>
      </c>
      <c r="AP163">
        <v>5.5801978299679433</v>
      </c>
      <c r="AQ163">
        <v>1.7395750287743112</v>
      </c>
      <c r="AR163">
        <v>16.286045581710923</v>
      </c>
      <c r="AS163">
        <v>-0.61972792038508828</v>
      </c>
      <c r="AT163">
        <v>4.6783620827364842</v>
      </c>
      <c r="AU163">
        <v>3.5128817229090004</v>
      </c>
      <c r="AV163">
        <v>-7.594284269796475</v>
      </c>
      <c r="AW163">
        <v>35.10763421081208</v>
      </c>
      <c r="AX163">
        <v>4.7301830118822323</v>
      </c>
      <c r="AY163">
        <v>2.7483908953419416</v>
      </c>
      <c r="AZ163">
        <v>2.4408399343420086</v>
      </c>
      <c r="BA163">
        <v>4.2347002182490314</v>
      </c>
      <c r="BB163">
        <v>3.4895784432779351</v>
      </c>
      <c r="BC163">
        <v>3.1216830888781857</v>
      </c>
      <c r="BD163">
        <v>7.591002146246197</v>
      </c>
      <c r="BE163">
        <v>4.6422533118280995</v>
      </c>
      <c r="BF163">
        <v>5.3685258524666324E-2</v>
      </c>
      <c r="BG163">
        <v>-0.17488753867793605</v>
      </c>
      <c r="BH163">
        <v>3.9158681683503289</v>
      </c>
      <c r="BI163">
        <v>1.6000588969940566</v>
      </c>
      <c r="BJ163">
        <v>1.6738851102273742</v>
      </c>
      <c r="BK163">
        <v>1.4797949373644315</v>
      </c>
      <c r="BL163">
        <v>1.0012451366617512</v>
      </c>
      <c r="BM163">
        <v>0.47327968513128837</v>
      </c>
      <c r="BN163">
        <v>3.8307883214604885</v>
      </c>
      <c r="BO163">
        <v>5.7176937259651055</v>
      </c>
      <c r="BP163">
        <v>2.1918487834366971</v>
      </c>
      <c r="BQ163">
        <v>2.8022523414252873</v>
      </c>
    </row>
    <row r="164" spans="1:69" hidden="1" x14ac:dyDescent="0.2">
      <c r="A164" t="s">
        <v>389</v>
      </c>
      <c r="B164" t="s">
        <v>390</v>
      </c>
      <c r="C164" t="s">
        <v>71</v>
      </c>
      <c r="D164" t="s">
        <v>72</v>
      </c>
      <c r="P164">
        <v>0.63319291357997542</v>
      </c>
      <c r="Q164">
        <v>-1.2232846998927442</v>
      </c>
      <c r="R164">
        <v>8.6867780882415673</v>
      </c>
      <c r="S164">
        <v>3.3637161576649106</v>
      </c>
      <c r="T164">
        <v>5.3632435665231384</v>
      </c>
      <c r="U164">
        <v>5.0267058745150166</v>
      </c>
      <c r="V164">
        <v>4.920525949715568</v>
      </c>
      <c r="W164">
        <v>4.1549820384988863</v>
      </c>
      <c r="X164">
        <v>6.2064821026030899</v>
      </c>
      <c r="Y164">
        <v>12.39256810050891</v>
      </c>
      <c r="Z164">
        <v>7.7803394927795892</v>
      </c>
      <c r="AA164">
        <v>3.4416914669168648</v>
      </c>
      <c r="AB164">
        <v>-0.30548413235905514</v>
      </c>
      <c r="AC164">
        <v>-0.17664755711280122</v>
      </c>
      <c r="AD164">
        <v>0.63651358374774247</v>
      </c>
      <c r="AE164">
        <v>3.517705899222463</v>
      </c>
      <c r="AF164">
        <v>3.0514698981540391</v>
      </c>
      <c r="AG164">
        <v>1.859561318831652</v>
      </c>
      <c r="AH164">
        <v>2.1470383787650036</v>
      </c>
      <c r="AI164">
        <v>3.1510498379508931</v>
      </c>
      <c r="AJ164">
        <v>3.3508729150923244</v>
      </c>
      <c r="AK164">
        <v>3.554418679683863</v>
      </c>
      <c r="AL164">
        <v>2.8545061468113033</v>
      </c>
      <c r="AM164">
        <v>3.561744701937954</v>
      </c>
      <c r="AN164">
        <v>8.6759675785591099</v>
      </c>
      <c r="AO164">
        <v>1.3793721967160621</v>
      </c>
      <c r="AP164">
        <v>0.78672127643235967</v>
      </c>
      <c r="AQ164">
        <v>1.3768980374262156</v>
      </c>
      <c r="AR164">
        <v>0.54820185538373778</v>
      </c>
      <c r="AS164">
        <v>-9.8986876641032069</v>
      </c>
      <c r="AT164">
        <v>4.3703577622894016</v>
      </c>
      <c r="AU164">
        <v>2.6327565910166015</v>
      </c>
      <c r="AV164">
        <v>2.0350904901848139</v>
      </c>
      <c r="AW164">
        <v>2.5133639085819226</v>
      </c>
      <c r="AX164">
        <v>1.9645665537376829</v>
      </c>
      <c r="AY164">
        <v>2.2723095989545641</v>
      </c>
      <c r="AZ164">
        <v>2.2402942731480238</v>
      </c>
      <c r="BA164">
        <v>3.3732831962193899</v>
      </c>
      <c r="BB164">
        <v>2.2464235361427995</v>
      </c>
      <c r="BC164">
        <v>2.7656291769680337</v>
      </c>
      <c r="BD164">
        <v>1.4828726808100896</v>
      </c>
      <c r="BE164">
        <v>2.1597397427717056</v>
      </c>
      <c r="BF164">
        <v>2.2557452103158369</v>
      </c>
      <c r="BG164">
        <v>2.2710133396553545</v>
      </c>
      <c r="BH164">
        <v>4.2002427578526067</v>
      </c>
      <c r="BI164">
        <v>2.1256487912797155</v>
      </c>
      <c r="BJ164">
        <v>2.135025635455861</v>
      </c>
      <c r="BK164">
        <v>1.7984167168943372</v>
      </c>
      <c r="BL164">
        <v>2.5064035919294128</v>
      </c>
      <c r="BM164">
        <v>1.8642139390833563</v>
      </c>
      <c r="BN164">
        <v>2.4475861350640997</v>
      </c>
      <c r="BO164">
        <v>5.0717474963963411</v>
      </c>
      <c r="BP164">
        <v>5.2772546442724888</v>
      </c>
      <c r="BQ164">
        <v>3.2310788195988351</v>
      </c>
    </row>
    <row r="165" spans="1:69" hidden="1" x14ac:dyDescent="0.2">
      <c r="A165" t="s">
        <v>391</v>
      </c>
      <c r="B165" t="s">
        <v>392</v>
      </c>
      <c r="C165" t="s">
        <v>71</v>
      </c>
      <c r="D165" t="s">
        <v>72</v>
      </c>
      <c r="F165">
        <v>1.4494371529977883</v>
      </c>
      <c r="G165">
        <v>0.600847631912103</v>
      </c>
      <c r="H165">
        <v>0.94378195626912031</v>
      </c>
      <c r="I165">
        <v>-3.7163403935911816</v>
      </c>
      <c r="J165">
        <v>1.6911033605161379</v>
      </c>
      <c r="K165">
        <v>3.5552112570219663</v>
      </c>
      <c r="L165">
        <v>15.991590382524208</v>
      </c>
      <c r="M165">
        <v>1.6928435905764019</v>
      </c>
      <c r="N165">
        <v>2.7622528623507634</v>
      </c>
      <c r="O165">
        <v>-1.4286095090830031</v>
      </c>
      <c r="P165">
        <v>-2.3094326219776917</v>
      </c>
      <c r="Q165">
        <v>0.75548593409288856</v>
      </c>
      <c r="R165">
        <v>10.004831972100376</v>
      </c>
      <c r="S165">
        <v>56.520895189252315</v>
      </c>
      <c r="T165">
        <v>16.496667838007426</v>
      </c>
      <c r="U165">
        <v>10.128715646741895</v>
      </c>
      <c r="V165">
        <v>1.9217993451134561</v>
      </c>
      <c r="W165">
        <v>0.79735639946700587</v>
      </c>
      <c r="X165">
        <v>5.6166498928653397</v>
      </c>
      <c r="Y165">
        <v>1.2351837316503946</v>
      </c>
      <c r="Z165">
        <v>4.4251837632031084</v>
      </c>
      <c r="AA165">
        <v>3.3744684291643523</v>
      </c>
      <c r="AB165">
        <v>1.9573388157443645</v>
      </c>
      <c r="AC165">
        <v>2.5178888461649933</v>
      </c>
      <c r="AD165">
        <v>1.5672508344021452</v>
      </c>
      <c r="AE165">
        <v>6.5545096897585893</v>
      </c>
      <c r="AF165">
        <v>21.238421517095844</v>
      </c>
      <c r="AG165">
        <v>25.195621172986591</v>
      </c>
      <c r="AH165">
        <v>57.684478087710232</v>
      </c>
      <c r="AI165">
        <v>18.539595374551681</v>
      </c>
      <c r="AJ165">
        <v>23.748844734583059</v>
      </c>
      <c r="AK165">
        <v>21.745465395054353</v>
      </c>
      <c r="AL165">
        <v>36.249428437574579</v>
      </c>
      <c r="AM165">
        <v>22.080150494604652</v>
      </c>
      <c r="AN165">
        <v>19.600843627462439</v>
      </c>
      <c r="AO165">
        <v>23.0374930881772</v>
      </c>
      <c r="AP165">
        <v>33.794224458401743</v>
      </c>
      <c r="AQ165">
        <v>35.825239760386069</v>
      </c>
      <c r="AR165">
        <v>22.640490046078938</v>
      </c>
      <c r="AS165">
        <v>2.4617739880408607</v>
      </c>
      <c r="AT165">
        <v>24.844464778248778</v>
      </c>
      <c r="AU165">
        <v>41.508928002153198</v>
      </c>
      <c r="AV165">
        <v>20.496539408029733</v>
      </c>
      <c r="AW165">
        <v>3.6011280791159379</v>
      </c>
      <c r="AX165">
        <v>19.163529903881397</v>
      </c>
      <c r="AY165">
        <v>21.300498806661167</v>
      </c>
      <c r="AZ165">
        <v>23.643908118220097</v>
      </c>
      <c r="BA165">
        <v>13.618657947302054</v>
      </c>
      <c r="BB165">
        <v>4.8785992462735237</v>
      </c>
      <c r="BC165">
        <v>7.0432118936606116</v>
      </c>
      <c r="BD165">
        <v>10.254576668224672</v>
      </c>
      <c r="BE165">
        <v>3.1300969526382829</v>
      </c>
      <c r="BF165">
        <v>4.3780708431065136</v>
      </c>
      <c r="BG165">
        <v>3.9102251927154725</v>
      </c>
      <c r="BH165">
        <v>4.1366967391293059</v>
      </c>
      <c r="BI165">
        <v>3.6156780953078567</v>
      </c>
      <c r="BJ165">
        <v>5.8734089465466042</v>
      </c>
      <c r="BK165">
        <v>5.3410946399101107</v>
      </c>
      <c r="BL165">
        <v>5.4229330046849498</v>
      </c>
      <c r="BM165">
        <v>5.3441100080658543</v>
      </c>
      <c r="BN165">
        <v>19.517209372100979</v>
      </c>
      <c r="BO165">
        <v>6.1637164890589844</v>
      </c>
      <c r="BP165">
        <v>10.787666446333887</v>
      </c>
      <c r="BQ165">
        <v>12.05751771919023</v>
      </c>
    </row>
    <row r="166" spans="1:69" hidden="1" x14ac:dyDescent="0.2">
      <c r="A166" t="s">
        <v>393</v>
      </c>
      <c r="B166" t="s">
        <v>394</v>
      </c>
      <c r="C166" t="s">
        <v>71</v>
      </c>
      <c r="D166" t="s">
        <v>72</v>
      </c>
      <c r="G166">
        <v>1.2057006979135352</v>
      </c>
      <c r="H166">
        <v>0.73235150083469591</v>
      </c>
      <c r="I166">
        <v>2.5708504137471877</v>
      </c>
      <c r="J166">
        <v>2.3336070550573709</v>
      </c>
      <c r="K166">
        <v>2.9785313000112126</v>
      </c>
      <c r="L166">
        <v>2.8320132932880142</v>
      </c>
      <c r="M166">
        <v>1.329107871931086</v>
      </c>
      <c r="N166">
        <v>0.80631020465614256</v>
      </c>
      <c r="O166">
        <v>3.7083530222193417</v>
      </c>
      <c r="P166">
        <v>8.1523145570705964</v>
      </c>
      <c r="Q166">
        <v>2.8867235663544903</v>
      </c>
      <c r="R166">
        <v>9.6276116453118732</v>
      </c>
      <c r="S166">
        <v>27.733624916706589</v>
      </c>
      <c r="T166">
        <v>5.9140221098810315</v>
      </c>
      <c r="U166">
        <v>10.840592723972847</v>
      </c>
      <c r="V166">
        <v>11.013413672971033</v>
      </c>
      <c r="W166">
        <v>8.6997794872715843</v>
      </c>
      <c r="X166">
        <v>16.629846868061961</v>
      </c>
      <c r="Y166">
        <v>14.041885970153295</v>
      </c>
      <c r="Z166">
        <v>9.9936548045677611</v>
      </c>
      <c r="AA166">
        <v>6.9025327532005463</v>
      </c>
      <c r="AB166">
        <v>8.8501718475318185</v>
      </c>
      <c r="AC166">
        <v>8.3404790852679156</v>
      </c>
      <c r="AD166">
        <v>4.2947154675643731</v>
      </c>
      <c r="AE166">
        <v>5.506708667054184</v>
      </c>
      <c r="AF166">
        <v>9.368089890826937</v>
      </c>
      <c r="AG166">
        <v>9.3392620633910965</v>
      </c>
      <c r="AH166">
        <v>15.637318556669655</v>
      </c>
      <c r="AI166">
        <v>15.501848385603353</v>
      </c>
      <c r="AJ166">
        <v>12.742998684440757</v>
      </c>
      <c r="AK166">
        <v>11.686576553299268</v>
      </c>
      <c r="AL166">
        <v>8.6338292580096265</v>
      </c>
      <c r="AM166">
        <v>10.738643806467081</v>
      </c>
      <c r="AN166">
        <v>10.679005567444506</v>
      </c>
      <c r="AO166">
        <v>7.1076674485611875</v>
      </c>
      <c r="AP166">
        <v>10.410509039362623</v>
      </c>
      <c r="AQ166">
        <v>2.377681489201791</v>
      </c>
      <c r="AR166">
        <v>5.8622861838065035</v>
      </c>
      <c r="AS166">
        <v>10.44160724206931</v>
      </c>
      <c r="AT166">
        <v>2.546694804872871</v>
      </c>
      <c r="AU166">
        <v>3.5434788190815212</v>
      </c>
      <c r="AV166">
        <v>5.1650758430497277</v>
      </c>
      <c r="AW166">
        <v>10.798901648540003</v>
      </c>
      <c r="AX166">
        <v>8.5627515282442772</v>
      </c>
      <c r="AY166">
        <v>8.2282420271996557</v>
      </c>
      <c r="AZ166">
        <v>8.7134201889363396</v>
      </c>
      <c r="BA166">
        <v>15.534004071373886</v>
      </c>
      <c r="BB166">
        <v>0.70008734296598618</v>
      </c>
      <c r="BC166">
        <v>10.347754445998305</v>
      </c>
      <c r="BD166">
        <v>14.036966309123827</v>
      </c>
      <c r="BE166">
        <v>6.6418434856630739</v>
      </c>
      <c r="BF166">
        <v>5.2805784583172297</v>
      </c>
      <c r="BG166">
        <v>3.4453235631560943</v>
      </c>
      <c r="BH166">
        <v>2.4475630014740375</v>
      </c>
      <c r="BI166">
        <v>0.96988386804991933</v>
      </c>
      <c r="BJ166">
        <v>4.0297459932557871</v>
      </c>
      <c r="BK166">
        <v>5.5224871010746597</v>
      </c>
      <c r="BL166">
        <v>4.1756726423653561</v>
      </c>
      <c r="BM166">
        <v>6.1769340984796344</v>
      </c>
      <c r="BN166">
        <v>10.267342080669437</v>
      </c>
      <c r="BO166">
        <v>13.93701123929381</v>
      </c>
      <c r="BP166">
        <v>2.9236621312166875</v>
      </c>
      <c r="BQ166">
        <v>4.9567029762558548</v>
      </c>
    </row>
    <row r="167" spans="1:69" hidden="1" x14ac:dyDescent="0.2">
      <c r="A167" t="s">
        <v>395</v>
      </c>
      <c r="B167" t="s">
        <v>396</v>
      </c>
      <c r="C167" t="s">
        <v>71</v>
      </c>
      <c r="D167" t="s">
        <v>72</v>
      </c>
      <c r="AQ167">
        <v>-1.8258033185684326</v>
      </c>
      <c r="AR167">
        <v>12.159348349107034</v>
      </c>
      <c r="AS167">
        <v>32.896498220404226</v>
      </c>
      <c r="AT167">
        <v>20.204751713195719</v>
      </c>
      <c r="AU167">
        <v>3.0751558354030522</v>
      </c>
      <c r="AV167">
        <v>8.3207742043657902</v>
      </c>
      <c r="AW167">
        <v>5.8857266503671042</v>
      </c>
      <c r="AX167">
        <v>4.3345831834064228</v>
      </c>
      <c r="AY167">
        <v>10.106960530836488</v>
      </c>
      <c r="AZ167">
        <v>16.041536888667679</v>
      </c>
      <c r="BA167">
        <v>7.6291258043849126</v>
      </c>
      <c r="BB167">
        <v>2.4079123850546296</v>
      </c>
      <c r="BC167">
        <v>1.6042026984327293</v>
      </c>
      <c r="BD167">
        <v>1.2027035488728615</v>
      </c>
      <c r="BE167">
        <v>0.17701699963205897</v>
      </c>
      <c r="BF167">
        <v>2.0669709044933029</v>
      </c>
      <c r="BG167">
        <v>1.036228319741511</v>
      </c>
      <c r="BH167">
        <v>2.2195729326273295</v>
      </c>
      <c r="BI167">
        <v>5.1010688370712813</v>
      </c>
      <c r="BJ167">
        <v>3.824972328099193</v>
      </c>
      <c r="BK167">
        <v>3.226106404660726</v>
      </c>
      <c r="BL167">
        <v>2.022148687277209</v>
      </c>
      <c r="BM167">
        <v>-0.17560591681662174</v>
      </c>
      <c r="BN167">
        <v>4.7262426101297734</v>
      </c>
      <c r="BO167">
        <v>12.355322150880468</v>
      </c>
      <c r="BP167">
        <v>10.542970332351302</v>
      </c>
      <c r="BQ167">
        <v>3.9563612821714287</v>
      </c>
    </row>
    <row r="168" spans="1:69" hidden="1" x14ac:dyDescent="0.2">
      <c r="A168" t="s">
        <v>397</v>
      </c>
      <c r="B168" t="s">
        <v>398</v>
      </c>
      <c r="C168" t="s">
        <v>71</v>
      </c>
      <c r="D168" t="s">
        <v>72</v>
      </c>
      <c r="AA168">
        <v>1.9814211995503968</v>
      </c>
      <c r="AB168">
        <v>0.90425024076768068</v>
      </c>
      <c r="AC168">
        <v>-3.0875937696796285</v>
      </c>
      <c r="AD168">
        <v>-1.448060909376693</v>
      </c>
      <c r="AE168">
        <v>-9.1723599507006526</v>
      </c>
      <c r="AF168">
        <v>0.80978882223902815</v>
      </c>
      <c r="AG168">
        <v>0.93098771431507998</v>
      </c>
      <c r="AH168">
        <v>7.1477388277844369</v>
      </c>
      <c r="AI168">
        <v>23.242925308562647</v>
      </c>
      <c r="AJ168">
        <v>93.319951081590176</v>
      </c>
      <c r="AK168">
        <v>173.69068251644723</v>
      </c>
      <c r="AL168">
        <v>318.89722533949794</v>
      </c>
      <c r="AM168">
        <v>64.319388323815105</v>
      </c>
      <c r="AN168">
        <v>60.272425427605185</v>
      </c>
      <c r="AO168">
        <v>10.807572704592317</v>
      </c>
      <c r="AP168">
        <v>21.672134233792335</v>
      </c>
      <c r="AQ168">
        <v>-1.9317969896455764</v>
      </c>
      <c r="AR168">
        <v>10.881756980457055</v>
      </c>
      <c r="AS168">
        <v>11.999691388141983</v>
      </c>
      <c r="AT168">
        <v>10.448544658192958</v>
      </c>
      <c r="AU168">
        <v>6.3696873506597029</v>
      </c>
      <c r="AV168">
        <v>10.236574534376828</v>
      </c>
      <c r="AW168">
        <v>16.691473012895912</v>
      </c>
      <c r="AX168">
        <v>20.098438776495527</v>
      </c>
      <c r="AY168">
        <v>21.986771568091285</v>
      </c>
      <c r="AZ168">
        <v>11.628567651516647</v>
      </c>
      <c r="BA168">
        <v>21.448753760998173</v>
      </c>
      <c r="BB168">
        <v>1.8267036840065742</v>
      </c>
      <c r="BC168">
        <v>39.178187970374069</v>
      </c>
      <c r="BD168">
        <v>15.119265488084665</v>
      </c>
      <c r="BE168">
        <v>12.784378857359499</v>
      </c>
      <c r="BF168">
        <v>2.9078483378354463</v>
      </c>
      <c r="BG168">
        <v>7.4488365950656288</v>
      </c>
      <c r="BH168">
        <v>0.60976921772335402</v>
      </c>
      <c r="BI168">
        <v>2.9931267605767715</v>
      </c>
      <c r="BJ168">
        <v>10.80044641174824</v>
      </c>
      <c r="BK168">
        <v>7.9606158647099932</v>
      </c>
      <c r="BL168">
        <v>9.9722132566641477</v>
      </c>
      <c r="BM168">
        <v>3.7067217695570491</v>
      </c>
      <c r="BN168">
        <v>14.420065480745436</v>
      </c>
      <c r="BO168">
        <v>17.71471241775015</v>
      </c>
      <c r="BP168">
        <v>21.769028016102723</v>
      </c>
      <c r="BQ168">
        <v>8.2424301175041848</v>
      </c>
    </row>
    <row r="169" spans="1:69" hidden="1" x14ac:dyDescent="0.2">
      <c r="A169" t="s">
        <v>399</v>
      </c>
      <c r="B169" t="s">
        <v>400</v>
      </c>
      <c r="C169" t="s">
        <v>71</v>
      </c>
      <c r="D169" t="s">
        <v>72</v>
      </c>
      <c r="AV169">
        <v>-3.8346842757968318</v>
      </c>
      <c r="AW169">
        <v>0.76079520955900648</v>
      </c>
      <c r="AX169">
        <v>0.44542581692577699</v>
      </c>
      <c r="AY169">
        <v>0.19291941564560489</v>
      </c>
      <c r="AZ169">
        <v>1.5340380549682777</v>
      </c>
      <c r="BA169">
        <v>12.567579020617188</v>
      </c>
      <c r="BB169">
        <v>2.714844066752093</v>
      </c>
      <c r="BC169">
        <v>-0.88050314465408519</v>
      </c>
      <c r="BD169">
        <v>-1.4864864864864842</v>
      </c>
      <c r="BE169">
        <v>1.5089163237311425</v>
      </c>
      <c r="BF169">
        <v>0.78328981723237234</v>
      </c>
      <c r="BG169">
        <v>3.4503356837689978</v>
      </c>
      <c r="BH169">
        <v>5.795454545454561</v>
      </c>
      <c r="BI169">
        <v>4.6069315300084384</v>
      </c>
      <c r="BJ169">
        <v>2.9702970297029765</v>
      </c>
      <c r="BK169">
        <v>3.5958688111006154</v>
      </c>
      <c r="BL169">
        <v>2.3376988115650477</v>
      </c>
      <c r="BM169">
        <v>3.5408810815782203</v>
      </c>
      <c r="BN169">
        <v>0.54572383789317769</v>
      </c>
      <c r="BO169">
        <v>2.8031899575013313</v>
      </c>
    </row>
    <row r="170" spans="1:69" hidden="1" x14ac:dyDescent="0.2">
      <c r="A170" t="s">
        <v>401</v>
      </c>
      <c r="B170" t="s">
        <v>402</v>
      </c>
      <c r="C170" t="s">
        <v>71</v>
      </c>
      <c r="D170" t="s">
        <v>72</v>
      </c>
      <c r="AK170">
        <v>37.810170013886705</v>
      </c>
      <c r="AL170">
        <v>42.95629679973041</v>
      </c>
      <c r="AM170">
        <v>50.241053723522498</v>
      </c>
      <c r="AN170">
        <v>51.45985901044304</v>
      </c>
      <c r="AO170">
        <v>48.817961428700784</v>
      </c>
      <c r="AP170">
        <v>10.545048655145891</v>
      </c>
      <c r="AQ170">
        <v>6.1584627859636782</v>
      </c>
      <c r="AR170">
        <v>8.9377890127919244</v>
      </c>
      <c r="AS170">
        <v>11.615552870032658</v>
      </c>
      <c r="AT170">
        <v>14.78207109145859</v>
      </c>
      <c r="AU170">
        <v>9.8318774351525491</v>
      </c>
      <c r="AV170">
        <v>3.640147317501004</v>
      </c>
      <c r="AW170">
        <v>5.7942646054460312</v>
      </c>
      <c r="AX170">
        <v>7.3310479826829607</v>
      </c>
      <c r="AY170">
        <v>7.4613445396577731</v>
      </c>
      <c r="AZ170">
        <v>7.43627840440044</v>
      </c>
      <c r="BA170">
        <v>5.1528040750931154</v>
      </c>
      <c r="BB170">
        <v>1.4713732319651598</v>
      </c>
      <c r="BC170">
        <v>7.6452279872526674</v>
      </c>
      <c r="BD170">
        <v>2.3483622904499839</v>
      </c>
      <c r="BE170">
        <v>3.1752345743067707</v>
      </c>
      <c r="BF170">
        <v>2.6012362690510429</v>
      </c>
      <c r="BG170">
        <v>1.0858708962557984</v>
      </c>
      <c r="BH170">
        <v>7.0599503354501536</v>
      </c>
      <c r="BI170">
        <v>12.160891291542498</v>
      </c>
      <c r="BJ170">
        <v>7.9780124016527054</v>
      </c>
      <c r="BK170">
        <v>3.7951186149990974</v>
      </c>
      <c r="BL170">
        <v>4.6776453470553463</v>
      </c>
      <c r="BM170">
        <v>3.1716610681579596</v>
      </c>
      <c r="BN170">
        <v>4.5505652081861996</v>
      </c>
      <c r="BO170">
        <v>9.1516142004213208</v>
      </c>
      <c r="BP170">
        <v>5.3013415072476988</v>
      </c>
      <c r="BQ170">
        <v>5.0656794141861212</v>
      </c>
    </row>
    <row r="171" spans="1:69" hidden="1" x14ac:dyDescent="0.2">
      <c r="A171" t="s">
        <v>403</v>
      </c>
      <c r="B171" t="s">
        <v>404</v>
      </c>
      <c r="C171" t="s">
        <v>71</v>
      </c>
      <c r="D171" t="s">
        <v>72</v>
      </c>
      <c r="G171">
        <v>2.4326633228583034</v>
      </c>
      <c r="H171">
        <v>4.4552396046598375</v>
      </c>
      <c r="I171">
        <v>4.5340076419948048</v>
      </c>
      <c r="J171">
        <v>-2.0654411342248977</v>
      </c>
      <c r="K171">
        <v>4.1430789368841943</v>
      </c>
      <c r="L171">
        <v>2.381563624017204</v>
      </c>
      <c r="M171">
        <v>-1.1585465190890432E-2</v>
      </c>
      <c r="N171">
        <v>-1.53887462592715</v>
      </c>
      <c r="O171">
        <v>0.12815861369664105</v>
      </c>
      <c r="P171">
        <v>6.2719460857681071</v>
      </c>
      <c r="Q171">
        <v>7.1222184705220144</v>
      </c>
      <c r="R171">
        <v>16.512716548430788</v>
      </c>
      <c r="S171">
        <v>12.684369105267109</v>
      </c>
      <c r="T171">
        <v>15.004365398835347</v>
      </c>
      <c r="U171">
        <v>6.0306409728155614</v>
      </c>
      <c r="V171">
        <v>6.3865442830487069</v>
      </c>
      <c r="W171">
        <v>2.4891991940503999</v>
      </c>
      <c r="X171">
        <v>12.234918142792409</v>
      </c>
      <c r="Y171">
        <v>6.5474490076082645</v>
      </c>
      <c r="Z171">
        <v>7.2651030393475367</v>
      </c>
      <c r="AA171">
        <v>10.085957852650267</v>
      </c>
      <c r="AB171">
        <v>7.2557987667792645</v>
      </c>
      <c r="AC171">
        <v>10.91260668562704</v>
      </c>
      <c r="AD171">
        <v>10.244925788270677</v>
      </c>
      <c r="AE171">
        <v>7.2602516623601332</v>
      </c>
      <c r="AF171">
        <v>10.462127876521492</v>
      </c>
      <c r="AG171">
        <v>5.3831948257875979</v>
      </c>
      <c r="AH171">
        <v>7.9761248455561713</v>
      </c>
      <c r="AI171">
        <v>2.6424775488105752</v>
      </c>
      <c r="AJ171">
        <v>41.413104586251961</v>
      </c>
      <c r="AK171">
        <v>5.7419426471180088</v>
      </c>
      <c r="AL171">
        <v>11.912884772115632</v>
      </c>
      <c r="AM171">
        <v>11.092601311810185</v>
      </c>
      <c r="AN171">
        <v>2.8419201213840495</v>
      </c>
      <c r="AO171">
        <v>1.8570634949601157</v>
      </c>
      <c r="AP171">
        <v>12.077063411071848</v>
      </c>
      <c r="AQ171">
        <v>18.451612978576733</v>
      </c>
      <c r="AR171">
        <v>4.7745193113343873</v>
      </c>
      <c r="AS171">
        <v>6.3515867279691633</v>
      </c>
      <c r="AT171">
        <v>5.8266189586335457</v>
      </c>
      <c r="AU171">
        <v>6.7147910662949357</v>
      </c>
      <c r="AV171">
        <v>4.4854795941104726</v>
      </c>
      <c r="AW171">
        <v>10.937540523388691</v>
      </c>
      <c r="AX171">
        <v>14.585259098214152</v>
      </c>
      <c r="AY171">
        <v>14.091062921823649</v>
      </c>
      <c r="AZ171">
        <v>8.8955856603022028</v>
      </c>
      <c r="BA171">
        <v>10.716317144916829</v>
      </c>
      <c r="BB171">
        <v>-0.35892820389879887</v>
      </c>
      <c r="BC171">
        <v>22.34316877733437</v>
      </c>
      <c r="BD171">
        <v>17.547765580992518</v>
      </c>
      <c r="BE171">
        <v>0.45583716139626063</v>
      </c>
      <c r="BF171">
        <v>4.4879682697352763</v>
      </c>
      <c r="BG171">
        <v>-11.876323117352399</v>
      </c>
      <c r="BH171">
        <v>-4.7939085819233469</v>
      </c>
      <c r="BI171">
        <v>11.210129744059927</v>
      </c>
      <c r="BJ171">
        <v>1.5839383494538453</v>
      </c>
      <c r="BK171">
        <v>4.5544573251079896</v>
      </c>
      <c r="BL171">
        <v>5.3280448262543274</v>
      </c>
      <c r="BM171">
        <v>6.440873289818299</v>
      </c>
      <c r="BN171">
        <v>7.4648732165083516</v>
      </c>
      <c r="BO171">
        <v>-0.61236174643426011</v>
      </c>
      <c r="BP171">
        <v>3.3714774170109649</v>
      </c>
      <c r="BQ171">
        <v>4.3210547809008091</v>
      </c>
    </row>
    <row r="172" spans="1:69" hidden="1" x14ac:dyDescent="0.2">
      <c r="A172" t="s">
        <v>405</v>
      </c>
      <c r="B172" t="s">
        <v>406</v>
      </c>
      <c r="C172" t="s">
        <v>71</v>
      </c>
      <c r="D172" t="s">
        <v>72</v>
      </c>
      <c r="F172">
        <v>-3.7000938936062653</v>
      </c>
      <c r="G172">
        <v>2.2937818778891597</v>
      </c>
      <c r="H172">
        <v>12.710884779937643</v>
      </c>
      <c r="I172">
        <v>-7.377463229599428</v>
      </c>
      <c r="J172">
        <v>1.8196971828931368</v>
      </c>
      <c r="K172">
        <v>2.5776519523512178</v>
      </c>
      <c r="L172">
        <v>1.7858238090090737</v>
      </c>
      <c r="M172">
        <v>7.0685241899349336</v>
      </c>
      <c r="N172">
        <v>2.2081854437629573</v>
      </c>
      <c r="O172">
        <v>1.5696378983432311</v>
      </c>
      <c r="P172">
        <v>6.236402496174918</v>
      </c>
      <c r="Q172">
        <v>13.834725202494937</v>
      </c>
      <c r="R172">
        <v>15.495650935093437</v>
      </c>
      <c r="S172">
        <v>59.577209113058387</v>
      </c>
      <c r="T172">
        <v>5.261581032567193</v>
      </c>
      <c r="U172">
        <v>-5.0665092496932687</v>
      </c>
      <c r="V172">
        <v>8.5794094162903889</v>
      </c>
      <c r="W172">
        <v>10.751800610549807</v>
      </c>
      <c r="X172">
        <v>17.936466596690721</v>
      </c>
      <c r="Y172">
        <v>26.569570169328145</v>
      </c>
      <c r="Z172">
        <v>10.863899470343384</v>
      </c>
      <c r="AA172">
        <v>8.8652377015988435</v>
      </c>
      <c r="AB172">
        <v>8.4367034788538149</v>
      </c>
      <c r="AC172">
        <v>7.4636741879672996</v>
      </c>
      <c r="AD172">
        <v>8.1995245969825419</v>
      </c>
      <c r="AE172">
        <v>8.0225608926818239</v>
      </c>
      <c r="AF172">
        <v>12.914997335684888</v>
      </c>
      <c r="AG172">
        <v>10.886457610670732</v>
      </c>
      <c r="AH172">
        <v>11.04755808985594</v>
      </c>
      <c r="AI172">
        <v>10.583630703260582</v>
      </c>
      <c r="AJ172">
        <v>8.5642790036469307</v>
      </c>
      <c r="AK172">
        <v>5.3553992898152529</v>
      </c>
      <c r="AL172">
        <v>9.2202179562304281</v>
      </c>
      <c r="AM172">
        <v>6.5554305112241877</v>
      </c>
      <c r="AN172">
        <v>5.4032014639107047</v>
      </c>
      <c r="AO172">
        <v>7.0020427805700365</v>
      </c>
      <c r="AP172">
        <v>5.1207692412842789</v>
      </c>
      <c r="AQ172">
        <v>6.9635795165232679</v>
      </c>
      <c r="AR172">
        <v>6.5719123435539046</v>
      </c>
      <c r="AS172">
        <v>3.4099293453386963</v>
      </c>
      <c r="AT172">
        <v>6.2320125154731159</v>
      </c>
      <c r="AU172">
        <v>6.2192841889429786</v>
      </c>
      <c r="AV172">
        <v>5.6231925905445621</v>
      </c>
      <c r="AW172">
        <v>6.8454497603481599</v>
      </c>
      <c r="AX172">
        <v>3.9480996996314133</v>
      </c>
      <c r="AY172">
        <v>9.5678840106436951</v>
      </c>
      <c r="AZ172">
        <v>8.3083152792865889</v>
      </c>
      <c r="BA172">
        <v>5.6866928220934199</v>
      </c>
      <c r="BB172">
        <v>-0.65420084184034977</v>
      </c>
      <c r="BC172">
        <v>1.126418920244987</v>
      </c>
      <c r="BD172">
        <v>3.1614637980007956</v>
      </c>
      <c r="BE172">
        <v>2.4655235524320744</v>
      </c>
      <c r="BF172">
        <v>4.1343318950499537</v>
      </c>
      <c r="BG172">
        <v>2.1683040492601435</v>
      </c>
      <c r="BH172">
        <v>1.399530742658655</v>
      </c>
      <c r="BI172">
        <v>2.3846320408733419</v>
      </c>
      <c r="BJ172">
        <v>1.6365056759451733</v>
      </c>
      <c r="BK172">
        <v>1.6753891691159168</v>
      </c>
      <c r="BL172">
        <v>-0.46584287384825984</v>
      </c>
      <c r="BM172">
        <v>2.573040445058993</v>
      </c>
      <c r="BN172">
        <v>3.1572003509057254</v>
      </c>
      <c r="BO172">
        <v>9.5826502529948954</v>
      </c>
      <c r="BP172">
        <v>6.5894111102285535</v>
      </c>
      <c r="BQ172">
        <v>3.8507243887468974</v>
      </c>
    </row>
    <row r="173" spans="1:69" hidden="1" x14ac:dyDescent="0.2">
      <c r="A173" t="s">
        <v>407</v>
      </c>
      <c r="B173" t="s">
        <v>408</v>
      </c>
      <c r="C173" t="s">
        <v>71</v>
      </c>
      <c r="D173" t="s">
        <v>72</v>
      </c>
      <c r="Z173">
        <v>16.405738989566103</v>
      </c>
      <c r="AA173">
        <v>9.6632584316248256</v>
      </c>
      <c r="AB173">
        <v>11.229776723974297</v>
      </c>
      <c r="AC173">
        <v>12.772054839507831</v>
      </c>
      <c r="AD173">
        <v>8.9308300055906074</v>
      </c>
      <c r="AE173">
        <v>13.509284194168487</v>
      </c>
      <c r="AF173">
        <v>16.723866652047235</v>
      </c>
      <c r="AG173">
        <v>31.091805811504827</v>
      </c>
      <c r="AH173">
        <v>22.50948609787298</v>
      </c>
      <c r="AI173">
        <v>10.660885516919976</v>
      </c>
      <c r="AJ173">
        <v>10.692314160270229</v>
      </c>
      <c r="AK173">
        <v>13.276424973017399</v>
      </c>
      <c r="AL173">
        <v>28.174660110210738</v>
      </c>
      <c r="AM173">
        <v>26.171881312138524</v>
      </c>
      <c r="AN173">
        <v>77.219604978076347</v>
      </c>
      <c r="AO173">
        <v>52.345588110630246</v>
      </c>
      <c r="AP173">
        <v>20.834849666339721</v>
      </c>
      <c r="AQ173">
        <v>19.548479860533831</v>
      </c>
      <c r="AR173">
        <v>39.690769725636414</v>
      </c>
      <c r="AS173">
        <v>30.533953674516425</v>
      </c>
      <c r="AT173">
        <v>25.622469975880094</v>
      </c>
      <c r="AU173">
        <v>112.69364910136667</v>
      </c>
      <c r="AV173">
        <v>10.346096674370273</v>
      </c>
      <c r="AW173">
        <v>14.846626114058182</v>
      </c>
      <c r="AX173">
        <v>10.741236813412087</v>
      </c>
      <c r="AY173">
        <v>19.967259546473954</v>
      </c>
      <c r="AZ173">
        <v>4.0997248671872342</v>
      </c>
      <c r="BA173">
        <v>11.964667526918646</v>
      </c>
      <c r="BB173">
        <v>7.899822950528673</v>
      </c>
      <c r="BC173">
        <v>12.127222061170045</v>
      </c>
      <c r="BD173">
        <v>13.99023774320149</v>
      </c>
      <c r="BE173">
        <v>17.639764474184119</v>
      </c>
      <c r="BF173">
        <v>27.046290997749352</v>
      </c>
      <c r="BG173">
        <v>20.969281305887705</v>
      </c>
      <c r="BH173">
        <v>19.814669261197963</v>
      </c>
      <c r="BI173">
        <v>20.292682928591077</v>
      </c>
      <c r="BJ173">
        <v>10.576924514898622</v>
      </c>
      <c r="BK173">
        <v>6.1523469856127093</v>
      </c>
      <c r="BL173">
        <v>7.7285564239315079</v>
      </c>
      <c r="BM173">
        <v>6.2182971195830845</v>
      </c>
      <c r="BN173">
        <v>8.1529684292959388</v>
      </c>
      <c r="BO173">
        <v>17.166830393095495</v>
      </c>
      <c r="BP173">
        <v>22.806722017207775</v>
      </c>
      <c r="BQ173">
        <v>27.329989999302512</v>
      </c>
    </row>
    <row r="174" spans="1:69" hidden="1" x14ac:dyDescent="0.2">
      <c r="A174" t="s">
        <v>409</v>
      </c>
      <c r="B174" t="s">
        <v>410</v>
      </c>
      <c r="C174" t="s">
        <v>71</v>
      </c>
      <c r="D174" t="s">
        <v>72</v>
      </c>
      <c r="F174">
        <v>-7.7585825970134721</v>
      </c>
      <c r="G174">
        <v>-1.110945874882205</v>
      </c>
      <c r="H174">
        <v>16.837626478648644</v>
      </c>
      <c r="I174">
        <v>1.1267260163167094</v>
      </c>
      <c r="J174">
        <v>2.6524045997143588</v>
      </c>
      <c r="K174">
        <v>-1.3775409204610725</v>
      </c>
      <c r="L174">
        <v>-2.3230856828511719</v>
      </c>
      <c r="M174">
        <v>-3.2806945262115903</v>
      </c>
      <c r="N174">
        <v>4.9059670513435236</v>
      </c>
      <c r="O174">
        <v>-0.50943729706489194</v>
      </c>
      <c r="P174">
        <v>-0.46865396472526299</v>
      </c>
      <c r="Q174">
        <v>0.34384314839076069</v>
      </c>
      <c r="R174">
        <v>17.87411971893404</v>
      </c>
      <c r="S174">
        <v>12.7092356059606</v>
      </c>
      <c r="T174">
        <v>-3.0775783007736095</v>
      </c>
      <c r="U174">
        <v>12.726161334748525</v>
      </c>
      <c r="V174">
        <v>6.8651209596704206</v>
      </c>
      <c r="W174">
        <v>9.8403808822971257</v>
      </c>
      <c r="X174">
        <v>12.059476683065995</v>
      </c>
      <c r="Y174">
        <v>6.875078733969886</v>
      </c>
      <c r="Z174">
        <v>1.0600191290354672</v>
      </c>
      <c r="AA174">
        <v>2.5590557316689626</v>
      </c>
      <c r="AB174">
        <v>5.9103872144689689</v>
      </c>
      <c r="AC174">
        <v>4.7927840196209814</v>
      </c>
      <c r="AD174">
        <v>-1.6059221989808918</v>
      </c>
      <c r="AE174">
        <v>-8.7173198626618813</v>
      </c>
      <c r="AF174">
        <v>7.6667147507537976</v>
      </c>
      <c r="AG174">
        <v>3.6200262502995173</v>
      </c>
      <c r="AH174">
        <v>4.4617035433516889</v>
      </c>
      <c r="AI174">
        <v>3.8078149763084923</v>
      </c>
      <c r="AJ174">
        <v>3.584698694941892</v>
      </c>
      <c r="AK174">
        <v>2.4142424724986</v>
      </c>
      <c r="AL174">
        <v>3.9869713102189479</v>
      </c>
      <c r="AM174">
        <v>3.9373345120758358</v>
      </c>
      <c r="AN174">
        <v>3.6334195531012341</v>
      </c>
      <c r="AO174">
        <v>3.6799033847535867</v>
      </c>
      <c r="AP174">
        <v>3.4823495826593387</v>
      </c>
      <c r="AQ174">
        <v>8.4987199983485766</v>
      </c>
      <c r="AR174">
        <v>4.5452820569551022E-2</v>
      </c>
      <c r="AS174">
        <v>8.8552168514483895</v>
      </c>
      <c r="AT174">
        <v>-1.5818739118174392</v>
      </c>
      <c r="AU174">
        <v>3.1288831986340853</v>
      </c>
      <c r="AV174">
        <v>3.2989328768782542</v>
      </c>
      <c r="AW174">
        <v>6.0092826148210605</v>
      </c>
      <c r="AX174">
        <v>8.8625864706771011</v>
      </c>
      <c r="AY174">
        <v>3.9809316735124156</v>
      </c>
      <c r="AZ174">
        <v>4.8813233572794275</v>
      </c>
      <c r="BA174">
        <v>10.388900399283571</v>
      </c>
      <c r="BB174">
        <v>-5.9922015556219606</v>
      </c>
      <c r="BC174">
        <v>7.2668459338943876</v>
      </c>
      <c r="BD174">
        <v>5.4124080900796798</v>
      </c>
      <c r="BE174">
        <v>0.99993230347088513</v>
      </c>
      <c r="BF174">
        <v>0.17447448132143961</v>
      </c>
      <c r="BG174">
        <v>2.4674667836637809</v>
      </c>
      <c r="BH174">
        <v>1.2180557335533848</v>
      </c>
      <c r="BI174">
        <v>1.65825996642414</v>
      </c>
      <c r="BJ174">
        <v>3.7789609430645328</v>
      </c>
      <c r="BK174">
        <v>0.62467467458664316</v>
      </c>
      <c r="BL174">
        <v>7.1826909312136422E-2</v>
      </c>
      <c r="BM174">
        <v>-0.818007729183023</v>
      </c>
      <c r="BN174">
        <v>5.6759384876411616</v>
      </c>
      <c r="BO174">
        <v>6.4034851182009618</v>
      </c>
      <c r="BP174">
        <v>-1.8722556253783722</v>
      </c>
      <c r="BQ174">
        <v>0.78250989168728324</v>
      </c>
    </row>
    <row r="175" spans="1:69" hidden="1" x14ac:dyDescent="0.2">
      <c r="A175" t="s">
        <v>411</v>
      </c>
      <c r="B175" t="s">
        <v>412</v>
      </c>
      <c r="C175" t="s">
        <v>71</v>
      </c>
      <c r="D175" t="s">
        <v>72</v>
      </c>
      <c r="F175">
        <v>1.1389666503510085</v>
      </c>
      <c r="G175">
        <v>1.2729301926146519</v>
      </c>
      <c r="H175">
        <v>1.2708014389851883</v>
      </c>
      <c r="I175">
        <v>1.5496017362249859</v>
      </c>
      <c r="J175">
        <v>1.8237430122929084</v>
      </c>
      <c r="K175">
        <v>2.7180505781405202</v>
      </c>
      <c r="L175">
        <v>3.4803355933220104</v>
      </c>
      <c r="M175">
        <v>4.2745634096667402</v>
      </c>
      <c r="N175">
        <v>4.8844011029182326</v>
      </c>
      <c r="O175">
        <v>5.1895425347442199</v>
      </c>
      <c r="P175">
        <v>5.0698075121856618</v>
      </c>
      <c r="Q175">
        <v>5.8260441160570906</v>
      </c>
      <c r="R175">
        <v>9.9288066513810946</v>
      </c>
      <c r="S175">
        <v>14.983947736214361</v>
      </c>
      <c r="T175">
        <v>9.2627906637823116</v>
      </c>
      <c r="U175">
        <v>5.503491902311282</v>
      </c>
      <c r="V175">
        <v>6.717535180785589</v>
      </c>
      <c r="W175">
        <v>6.8265945986672989</v>
      </c>
      <c r="X175">
        <v>8.2967219827984309</v>
      </c>
      <c r="Y175">
        <v>9.8540870562181482</v>
      </c>
      <c r="Z175">
        <v>10.870957423493195</v>
      </c>
      <c r="AA175">
        <v>8.8270783493787093</v>
      </c>
      <c r="AB175">
        <v>5.8244750602940627</v>
      </c>
      <c r="AC175">
        <v>3.6078793047632018</v>
      </c>
      <c r="AD175">
        <v>3.3383891682728262</v>
      </c>
      <c r="AE175">
        <v>3.1323790484138812</v>
      </c>
      <c r="AF175">
        <v>4.7916014313895232</v>
      </c>
      <c r="AG175">
        <v>4.5399982412587008</v>
      </c>
      <c r="AH175">
        <v>4.68125322876962</v>
      </c>
      <c r="AI175">
        <v>3.7433291014070278</v>
      </c>
      <c r="AJ175">
        <v>3.3818113288146492</v>
      </c>
      <c r="AK175">
        <v>2.2788543529417211</v>
      </c>
      <c r="AL175">
        <v>2.3703248319923063</v>
      </c>
      <c r="AM175">
        <v>1.9595679677018296</v>
      </c>
      <c r="AN175">
        <v>2.2633258070125635</v>
      </c>
      <c r="AO175">
        <v>1.8307645539258317</v>
      </c>
      <c r="AP175">
        <v>1.7244479572733269</v>
      </c>
      <c r="AQ175">
        <v>1.1238656205817108</v>
      </c>
      <c r="AR175">
        <v>1.9238555864148168</v>
      </c>
      <c r="AS175">
        <v>2.2651951747072872</v>
      </c>
      <c r="AT175">
        <v>1.5736767919253083</v>
      </c>
      <c r="AU175">
        <v>1.5539946554048498</v>
      </c>
      <c r="AV175">
        <v>2.8247395206592216</v>
      </c>
      <c r="AW175">
        <v>3.2608738899192531</v>
      </c>
      <c r="AX175">
        <v>3.1354545592355834</v>
      </c>
      <c r="AY175">
        <v>3.0838367347347315</v>
      </c>
      <c r="AZ175">
        <v>3.3005456177328938</v>
      </c>
      <c r="BA175">
        <v>3.996316464541664</v>
      </c>
      <c r="BB175">
        <v>0.61678071303961701</v>
      </c>
      <c r="BC175">
        <v>2.2362220025570707</v>
      </c>
      <c r="BD175">
        <v>2.0631094744365726</v>
      </c>
      <c r="BE175">
        <v>1.8621649294819633</v>
      </c>
      <c r="BF175">
        <v>1.7018803620007219</v>
      </c>
      <c r="BG175">
        <v>1.9411989715329554</v>
      </c>
      <c r="BH175">
        <v>0.92804279334069406</v>
      </c>
      <c r="BI175">
        <v>0.95032247776268264</v>
      </c>
      <c r="BJ175">
        <v>1.7908032863539489</v>
      </c>
      <c r="BK175">
        <v>1.6511181804358586</v>
      </c>
      <c r="BL175">
        <v>1.6504656691346753</v>
      </c>
      <c r="BM175">
        <v>1.0708102610562236</v>
      </c>
      <c r="BN175">
        <v>4.5659855026199097</v>
      </c>
      <c r="BO175">
        <v>7.1294808542102999</v>
      </c>
      <c r="BP175">
        <v>3.5983913537808547</v>
      </c>
      <c r="BQ175">
        <v>2.5152587549829093</v>
      </c>
    </row>
    <row r="176" spans="1:69" hidden="1" x14ac:dyDescent="0.2">
      <c r="A176" t="s">
        <v>413</v>
      </c>
      <c r="B176" t="s">
        <v>414</v>
      </c>
      <c r="C176" t="s">
        <v>71</v>
      </c>
      <c r="D176" t="s">
        <v>72</v>
      </c>
      <c r="Z176">
        <v>3.6657261678102486</v>
      </c>
      <c r="AA176">
        <v>16.979307749265175</v>
      </c>
      <c r="AB176">
        <v>13.324901906042825</v>
      </c>
      <c r="AC176">
        <v>12.73475577168854</v>
      </c>
      <c r="AD176">
        <v>23.935852260281337</v>
      </c>
      <c r="AE176">
        <v>10.082932872342738</v>
      </c>
      <c r="AF176">
        <v>9.3999479659881757</v>
      </c>
      <c r="AG176">
        <v>20.152601266539236</v>
      </c>
      <c r="AH176">
        <v>15.072652937010986</v>
      </c>
      <c r="AI176">
        <v>6.3883608356410235</v>
      </c>
      <c r="AJ176">
        <v>5.9868991282514799</v>
      </c>
      <c r="AK176">
        <v>10.268089191976657</v>
      </c>
      <c r="AL176">
        <v>10.361946657214176</v>
      </c>
      <c r="AM176">
        <v>20.459093129318418</v>
      </c>
      <c r="AN176">
        <v>6.6815078429188475</v>
      </c>
      <c r="AO176">
        <v>15.176180335890493</v>
      </c>
      <c r="AP176">
        <v>7.1131708280073127</v>
      </c>
      <c r="AQ176">
        <v>8.2695548349927464</v>
      </c>
      <c r="AR176">
        <v>6.7852561344328848</v>
      </c>
      <c r="AS176">
        <v>11.281126652356548</v>
      </c>
      <c r="AT176">
        <v>11.203764356203536</v>
      </c>
      <c r="AU176">
        <v>10.003601687986261</v>
      </c>
      <c r="AV176">
        <v>1.2711078719954685</v>
      </c>
      <c r="AW176">
        <v>2.0402528031799392</v>
      </c>
      <c r="AX176">
        <v>5.5980815845223759</v>
      </c>
      <c r="AY176">
        <v>9.406585812946048</v>
      </c>
      <c r="AZ176">
        <v>9.2864342942275755</v>
      </c>
      <c r="BA176">
        <v>10.961412407555954</v>
      </c>
      <c r="BB176">
        <v>6.9454042890453991</v>
      </c>
      <c r="BC176">
        <v>3.7258984989110076</v>
      </c>
      <c r="BD176">
        <v>3.8148763624349584</v>
      </c>
      <c r="BE176">
        <v>11.260308473434904</v>
      </c>
      <c r="BF176">
        <v>4.0397908935007507</v>
      </c>
      <c r="BG176">
        <v>8.2348917986665242</v>
      </c>
      <c r="BH176">
        <v>3.864574350776607</v>
      </c>
      <c r="BI176">
        <v>7.9686720122591197</v>
      </c>
      <c r="BJ176">
        <v>9.9190369890213077</v>
      </c>
      <c r="BK176">
        <v>4.4284889408110075</v>
      </c>
      <c r="BL176">
        <v>0.92631584416041335</v>
      </c>
      <c r="BM176">
        <v>4.6315306146880175</v>
      </c>
      <c r="BN176">
        <v>1.5343303300027031</v>
      </c>
      <c r="BO176">
        <v>6.4167445391998967</v>
      </c>
      <c r="BP176">
        <v>6.5988781775864709</v>
      </c>
      <c r="BQ176">
        <v>3.2501529759557855</v>
      </c>
    </row>
    <row r="177" spans="1:69" hidden="1" x14ac:dyDescent="0.2">
      <c r="A177" t="s">
        <v>415</v>
      </c>
      <c r="B177" t="s">
        <v>416</v>
      </c>
      <c r="C177" t="s">
        <v>71</v>
      </c>
      <c r="D177" t="s">
        <v>72</v>
      </c>
      <c r="K177">
        <v>7.0081431270195793</v>
      </c>
      <c r="L177">
        <v>4.0224059380335291</v>
      </c>
      <c r="M177">
        <v>4.7602610574354713</v>
      </c>
      <c r="N177">
        <v>11.001305701050583</v>
      </c>
      <c r="O177">
        <v>11.318648874195361</v>
      </c>
      <c r="P177">
        <v>7.5128843111935453</v>
      </c>
      <c r="Q177">
        <v>7.7640863964326456</v>
      </c>
      <c r="R177">
        <v>6.5649774087791286</v>
      </c>
      <c r="S177">
        <v>12.628271025281805</v>
      </c>
      <c r="T177">
        <v>7.1122240019925158</v>
      </c>
      <c r="U177">
        <v>6.5418813272634537</v>
      </c>
      <c r="V177">
        <v>5.86721749013752</v>
      </c>
      <c r="W177">
        <v>-15.510903514893855</v>
      </c>
      <c r="X177">
        <v>35.057553301573506</v>
      </c>
      <c r="Y177">
        <v>12.59887241077449</v>
      </c>
      <c r="Z177">
        <v>13.744349701752753</v>
      </c>
      <c r="AA177">
        <v>9.8434714074860068</v>
      </c>
      <c r="AB177">
        <v>7.7690659440059022</v>
      </c>
      <c r="AC177">
        <v>8.8396721995660954</v>
      </c>
      <c r="AD177">
        <v>5.6505843559142619</v>
      </c>
      <c r="AE177">
        <v>9.4229006682205636</v>
      </c>
      <c r="AF177">
        <v>1.7028848476718537</v>
      </c>
      <c r="AG177">
        <v>2.5592402282271394</v>
      </c>
      <c r="AH177">
        <v>1.7184319395283438</v>
      </c>
      <c r="AI177">
        <v>-4.6356039314432707</v>
      </c>
      <c r="AJ177">
        <v>3.6304090564724305</v>
      </c>
      <c r="AK177">
        <v>2.8417159670586898</v>
      </c>
      <c r="AL177">
        <v>2.7152828693442359</v>
      </c>
      <c r="AM177">
        <v>2.8916937144723533</v>
      </c>
      <c r="AN177">
        <v>1.3315310086915844</v>
      </c>
      <c r="AO177">
        <v>1.4222781066408459</v>
      </c>
      <c r="AP177">
        <v>2.0584562468519465</v>
      </c>
      <c r="AQ177">
        <v>12.831213235837424</v>
      </c>
      <c r="AR177">
        <v>6.1150169052753114</v>
      </c>
      <c r="AS177">
        <v>5.961720448160861</v>
      </c>
      <c r="BK177">
        <v>-0.77442780779990983</v>
      </c>
      <c r="BL177">
        <v>2.4340770811691641</v>
      </c>
      <c r="BM177">
        <v>0.43012498037384717</v>
      </c>
      <c r="BN177">
        <v>4.8276431294960389</v>
      </c>
      <c r="BO177">
        <v>3.8457149415052498</v>
      </c>
    </row>
    <row r="178" spans="1:69" hidden="1" x14ac:dyDescent="0.2">
      <c r="A178" t="s">
        <v>417</v>
      </c>
      <c r="B178" t="s">
        <v>418</v>
      </c>
      <c r="C178" t="s">
        <v>71</v>
      </c>
      <c r="D178" t="s">
        <v>72</v>
      </c>
      <c r="F178">
        <v>3.3938505869563613</v>
      </c>
      <c r="G178">
        <v>-0.84279252527689152</v>
      </c>
      <c r="H178">
        <v>0.76149590428826741</v>
      </c>
      <c r="I178">
        <v>-0.71900172346579438</v>
      </c>
      <c r="J178">
        <v>8.076817874351633</v>
      </c>
      <c r="K178">
        <v>4.95788513775463</v>
      </c>
      <c r="L178">
        <v>-5.2190750957977059</v>
      </c>
      <c r="M178">
        <v>-3.4198142218173047</v>
      </c>
      <c r="N178">
        <v>8.4431123844951372</v>
      </c>
      <c r="O178">
        <v>7.1366438003954471</v>
      </c>
      <c r="P178">
        <v>0.59983290991252147</v>
      </c>
      <c r="Q178">
        <v>3.3611773682368948</v>
      </c>
      <c r="R178">
        <v>35.837504256160372</v>
      </c>
      <c r="S178">
        <v>7.6472589869790397</v>
      </c>
      <c r="T178">
        <v>-6.3928024797066314</v>
      </c>
      <c r="U178">
        <v>12.416354121695264</v>
      </c>
      <c r="V178">
        <v>15.747794992574214</v>
      </c>
      <c r="W178">
        <v>11.211351501609613</v>
      </c>
      <c r="X178">
        <v>4.5865199368990233</v>
      </c>
      <c r="Y178">
        <v>21.094821576641465</v>
      </c>
      <c r="Z178">
        <v>11.499991352761739</v>
      </c>
      <c r="AA178">
        <v>10.000018396173928</v>
      </c>
      <c r="AB178">
        <v>7.7999846109824773</v>
      </c>
      <c r="AC178">
        <v>11.717493387168503</v>
      </c>
      <c r="AD178">
        <v>-5.9001802829777574</v>
      </c>
      <c r="AE178">
        <v>-4.200278683225477</v>
      </c>
      <c r="AF178">
        <v>1.6845634269815548</v>
      </c>
      <c r="AG178">
        <v>-5.2999977697331389</v>
      </c>
      <c r="AH178">
        <v>1.3999863554507357</v>
      </c>
      <c r="AI178">
        <v>39.359954276817376</v>
      </c>
      <c r="AJ178">
        <v>-2.6407432784843223</v>
      </c>
      <c r="AK178">
        <v>-5.2019371395045084</v>
      </c>
      <c r="AL178">
        <v>-3.8688135035764901</v>
      </c>
      <c r="AM178">
        <v>22.214367543041377</v>
      </c>
      <c r="AN178">
        <v>4.249461321495744</v>
      </c>
      <c r="AO178">
        <v>6.968634944361682</v>
      </c>
      <c r="AP178">
        <v>6.9916813235484199</v>
      </c>
      <c r="AQ178">
        <v>6.0781626857225888</v>
      </c>
      <c r="AR178">
        <v>0.37974663716506996</v>
      </c>
      <c r="AS178">
        <v>3.1783937007447065</v>
      </c>
      <c r="AT178">
        <v>5.0125209326036213</v>
      </c>
      <c r="AU178">
        <v>2.5723019252641706</v>
      </c>
      <c r="AV178">
        <v>-0.18848138092404554</v>
      </c>
      <c r="AW178">
        <v>0.38694202828206414</v>
      </c>
      <c r="AX178">
        <v>8.5848844414468743</v>
      </c>
      <c r="AY178">
        <v>1.4961975811766308</v>
      </c>
      <c r="AZ178">
        <v>7.0366610745821561</v>
      </c>
      <c r="BA178">
        <v>10.129115720623133</v>
      </c>
      <c r="BB178">
        <v>4.1900599979519058</v>
      </c>
      <c r="BC178">
        <v>3.4750430143817255</v>
      </c>
      <c r="BD178">
        <v>3.9716051825615892</v>
      </c>
      <c r="BE178">
        <v>5.3083393717890743</v>
      </c>
      <c r="BF178">
        <v>-0.3691740821394518</v>
      </c>
      <c r="BG178">
        <v>-0.4056768454050399</v>
      </c>
      <c r="BH178">
        <v>2.2494264362120049</v>
      </c>
      <c r="BI178">
        <v>1.7927214655758519</v>
      </c>
      <c r="BJ178">
        <v>0.36827672897010189</v>
      </c>
      <c r="BK178">
        <v>2.4036862433171535</v>
      </c>
      <c r="BL178">
        <v>-2.4382762740458475E-2</v>
      </c>
      <c r="BM178">
        <v>1.1629797417771215</v>
      </c>
      <c r="BN178">
        <v>3.118645971849034</v>
      </c>
      <c r="BO178">
        <v>4.0189999794474289</v>
      </c>
      <c r="BP178">
        <v>3.4883090951918376</v>
      </c>
      <c r="BQ178">
        <v>7.872470474372335</v>
      </c>
    </row>
    <row r="179" spans="1:69" hidden="1" x14ac:dyDescent="0.2">
      <c r="A179" t="s">
        <v>419</v>
      </c>
      <c r="B179" t="s">
        <v>420</v>
      </c>
      <c r="C179" t="s">
        <v>71</v>
      </c>
      <c r="D179" t="s">
        <v>72</v>
      </c>
      <c r="F179">
        <v>6.2571691540071157</v>
      </c>
      <c r="G179">
        <v>5.5653009001539857</v>
      </c>
      <c r="H179">
        <v>-3.0947524504355926</v>
      </c>
      <c r="I179">
        <v>2.4278089847241944</v>
      </c>
      <c r="J179">
        <v>0.86444495337482863</v>
      </c>
      <c r="K179">
        <v>13.192871489166237</v>
      </c>
      <c r="L179">
        <v>-3.006705394350135</v>
      </c>
      <c r="M179">
        <v>1.2205469694061861</v>
      </c>
      <c r="N179">
        <v>2.7063069936864821</v>
      </c>
      <c r="O179">
        <v>51.278481331575364</v>
      </c>
      <c r="P179">
        <v>1.3480342493702864</v>
      </c>
      <c r="Q179">
        <v>2.8928681057489314</v>
      </c>
      <c r="R179">
        <v>5.3468365641175239</v>
      </c>
      <c r="S179">
        <v>43.946367922952305</v>
      </c>
      <c r="T179">
        <v>23.50079026194129</v>
      </c>
      <c r="U179">
        <v>14.353185368008226</v>
      </c>
      <c r="V179">
        <v>10.713753786428668</v>
      </c>
      <c r="W179">
        <v>13.914745020954669</v>
      </c>
      <c r="X179">
        <v>11.488763144686317</v>
      </c>
      <c r="Y179">
        <v>12.419662241744888</v>
      </c>
      <c r="Z179">
        <v>219.00284399742225</v>
      </c>
      <c r="AA179">
        <v>14.802551915567037</v>
      </c>
      <c r="AB179">
        <v>19.56894988793978</v>
      </c>
      <c r="AC179">
        <v>5.6536640947156656</v>
      </c>
      <c r="AD179">
        <v>6.9277691556882672</v>
      </c>
      <c r="AE179">
        <v>5.4154525842827752</v>
      </c>
      <c r="AF179">
        <v>19.669475598480631</v>
      </c>
      <c r="AG179">
        <v>20.177126118624059</v>
      </c>
      <c r="AH179">
        <v>28.969673392606325</v>
      </c>
      <c r="AI179">
        <v>6.6689418698616834</v>
      </c>
      <c r="AJ179">
        <v>18.863906801477157</v>
      </c>
      <c r="AK179">
        <v>46.75235535816671</v>
      </c>
      <c r="AL179">
        <v>41.639058719839028</v>
      </c>
      <c r="AM179">
        <v>43.296464293665082</v>
      </c>
      <c r="AN179">
        <v>75.401653189735669</v>
      </c>
      <c r="AO179">
        <v>26.491089856452277</v>
      </c>
      <c r="AP179">
        <v>5.0553459310608559</v>
      </c>
      <c r="AQ179">
        <v>6.0093443036106606</v>
      </c>
      <c r="AR179">
        <v>13.430571635079616</v>
      </c>
      <c r="AS179">
        <v>22.673737400878395</v>
      </c>
      <c r="AT179">
        <v>10.076477244864151</v>
      </c>
      <c r="AU179">
        <v>21.109050002928768</v>
      </c>
      <c r="AV179">
        <v>9.8043237766589613</v>
      </c>
      <c r="AW179">
        <v>22.368341474842339</v>
      </c>
      <c r="AX179">
        <v>19.858494770752372</v>
      </c>
      <c r="AY179">
        <v>23.864381126543151</v>
      </c>
      <c r="AZ179">
        <v>7.0997309934301569</v>
      </c>
      <c r="BA179">
        <v>7.9213872023644996</v>
      </c>
      <c r="BB179">
        <v>0.68609887459400909</v>
      </c>
      <c r="BC179">
        <v>16.342766325306954</v>
      </c>
      <c r="BD179">
        <v>9.7784580967588397</v>
      </c>
      <c r="BE179">
        <v>9.9476367063502096</v>
      </c>
      <c r="BF179">
        <v>4.9647457156127359</v>
      </c>
      <c r="BG179">
        <v>4.6626229173307649</v>
      </c>
      <c r="BH179">
        <v>2.8636651229894312</v>
      </c>
      <c r="BI179">
        <v>9.5436700641247256</v>
      </c>
      <c r="BJ179">
        <v>11.118918081769877</v>
      </c>
      <c r="BK179">
        <v>10.228485086588819</v>
      </c>
      <c r="BL179">
        <v>10.384779195217035</v>
      </c>
      <c r="BM179">
        <v>7.8491420472058877</v>
      </c>
      <c r="BN179">
        <v>10.131033686734696</v>
      </c>
      <c r="BO179">
        <v>11.311334941398286</v>
      </c>
      <c r="BP179">
        <v>12.621869227551443</v>
      </c>
      <c r="BQ179">
        <v>14.450070225075052</v>
      </c>
    </row>
    <row r="180" spans="1:69" hidden="1" x14ac:dyDescent="0.2">
      <c r="A180" t="s">
        <v>421</v>
      </c>
      <c r="B180" t="s">
        <v>422</v>
      </c>
      <c r="C180" t="s">
        <v>71</v>
      </c>
      <c r="D180" t="s">
        <v>72</v>
      </c>
      <c r="F180">
        <v>-4.737048659598031E-2</v>
      </c>
      <c r="G180">
        <v>-0.53546733206751185</v>
      </c>
      <c r="H180">
        <v>-0.40818819843629228</v>
      </c>
      <c r="I180">
        <v>4.5206423599709638</v>
      </c>
      <c r="J180">
        <v>0.84046955614778085</v>
      </c>
      <c r="K180">
        <v>3.6610668045652375</v>
      </c>
      <c r="L180">
        <v>1.2663376694529376</v>
      </c>
      <c r="M180">
        <v>4.4899593307460322</v>
      </c>
      <c r="N180">
        <v>1.17181025802671</v>
      </c>
      <c r="O180">
        <v>2.4387352015407657</v>
      </c>
      <c r="P180">
        <v>3.0316569889327241</v>
      </c>
      <c r="Q180">
        <v>4.2507346078021016</v>
      </c>
      <c r="R180">
        <v>16.664208345695485</v>
      </c>
      <c r="S180">
        <v>21.791286075100416</v>
      </c>
      <c r="T180">
        <v>4.7320335639175539</v>
      </c>
      <c r="U180">
        <v>10.434002466845314</v>
      </c>
      <c r="V180">
        <v>11.852471036693117</v>
      </c>
      <c r="W180">
        <v>3.7712664622069525</v>
      </c>
      <c r="X180">
        <v>31.658480938142617</v>
      </c>
      <c r="Y180">
        <v>36.978627995652943</v>
      </c>
      <c r="Z180">
        <v>11.721118660451111</v>
      </c>
      <c r="AA180">
        <v>16.745715891598294</v>
      </c>
      <c r="AB180">
        <v>11.001987426943089</v>
      </c>
      <c r="AC180">
        <v>38.961998663118607</v>
      </c>
      <c r="AD180">
        <v>167.18897070523713</v>
      </c>
      <c r="AE180">
        <v>281.46019588995983</v>
      </c>
      <c r="AF180">
        <v>523.08095229651212</v>
      </c>
      <c r="AG180">
        <v>13611.634818537541</v>
      </c>
      <c r="AH180">
        <v>4711.1695519692976</v>
      </c>
      <c r="AI180">
        <v>5016.1079496685279</v>
      </c>
      <c r="AJ180">
        <v>4523.6318832019251</v>
      </c>
      <c r="AK180">
        <v>23.665311918930428</v>
      </c>
      <c r="AL180">
        <v>20.391625234163271</v>
      </c>
      <c r="AM180">
        <v>133.70479744743852</v>
      </c>
      <c r="AN180">
        <v>13.392683774412589</v>
      </c>
      <c r="AO180">
        <v>9.6068128875385099</v>
      </c>
      <c r="AP180">
        <v>9.7779931907770106</v>
      </c>
      <c r="AQ180">
        <v>14.028487755265346</v>
      </c>
      <c r="AR180">
        <v>9.2262326228871814</v>
      </c>
      <c r="AS180">
        <v>8.5662283597754083</v>
      </c>
      <c r="AT180">
        <v>7.241509339844157</v>
      </c>
      <c r="AU180">
        <v>3.2483787442209007</v>
      </c>
      <c r="AV180">
        <v>5.331077197509515</v>
      </c>
      <c r="AW180">
        <v>9.0509024049757443</v>
      </c>
      <c r="AX180">
        <v>9.8670941490748021</v>
      </c>
      <c r="AY180">
        <v>7.8679120476971889</v>
      </c>
      <c r="AZ180">
        <v>9.6739135167518384</v>
      </c>
      <c r="BA180">
        <v>16.199152160133451</v>
      </c>
      <c r="BB180">
        <v>6.0363031053555289</v>
      </c>
      <c r="BC180">
        <v>6.1380867897729843</v>
      </c>
      <c r="BD180">
        <v>10.214827652435361</v>
      </c>
      <c r="BE180">
        <v>6.2433592625323655</v>
      </c>
      <c r="BF180">
        <v>4.3491579431384793</v>
      </c>
      <c r="BG180">
        <v>8.3927415328417112</v>
      </c>
      <c r="BH180">
        <v>7.5884852906989693</v>
      </c>
      <c r="BI180">
        <v>4.5897394493380688</v>
      </c>
      <c r="BJ180">
        <v>4.1238490593990491</v>
      </c>
      <c r="BK180">
        <v>2.6582585508659236</v>
      </c>
      <c r="BL180">
        <v>5.3953867282108234</v>
      </c>
      <c r="BM180">
        <v>6.2853399112861439</v>
      </c>
      <c r="BN180">
        <v>3.5219924346503007</v>
      </c>
      <c r="BO180">
        <v>8.3853261861697774</v>
      </c>
      <c r="BP180">
        <v>10.781773656599</v>
      </c>
      <c r="BQ180">
        <v>7.3097131343010204</v>
      </c>
    </row>
    <row r="181" spans="1:69" hidden="1" x14ac:dyDescent="0.2">
      <c r="A181" t="s">
        <v>423</v>
      </c>
      <c r="B181" t="s">
        <v>424</v>
      </c>
      <c r="C181" t="s">
        <v>71</v>
      </c>
      <c r="D181" t="s">
        <v>72</v>
      </c>
      <c r="F181">
        <v>5.2640581811001113</v>
      </c>
      <c r="G181">
        <v>0.75871363565562433</v>
      </c>
      <c r="H181">
        <v>4.69947032510143</v>
      </c>
      <c r="I181">
        <v>8.6779887528713289</v>
      </c>
      <c r="J181">
        <v>3.3718002236639961</v>
      </c>
      <c r="K181">
        <v>5.9832885096219712</v>
      </c>
      <c r="L181">
        <v>4.2076186764381589</v>
      </c>
      <c r="M181">
        <v>4.1966624438771021</v>
      </c>
      <c r="N181">
        <v>6.4099720095427841</v>
      </c>
      <c r="O181">
        <v>5.6448967339547238</v>
      </c>
      <c r="P181">
        <v>8.7900297973988444</v>
      </c>
      <c r="Q181">
        <v>8.1616207459416046</v>
      </c>
      <c r="R181">
        <v>8.4810008261677439</v>
      </c>
      <c r="S181">
        <v>12.895652605241196</v>
      </c>
      <c r="T181">
        <v>8.0953876858692979</v>
      </c>
      <c r="U181">
        <v>8.9932362784838347</v>
      </c>
      <c r="V181">
        <v>5.3446527495655971</v>
      </c>
      <c r="W181">
        <v>5.3348889942928821</v>
      </c>
      <c r="X181">
        <v>4.7710592317505132</v>
      </c>
      <c r="Y181">
        <v>6.2253723784883306</v>
      </c>
      <c r="Z181">
        <v>6.3900918618935663</v>
      </c>
      <c r="AA181">
        <v>4.6236554821953035</v>
      </c>
      <c r="AB181">
        <v>1.3890721909341153</v>
      </c>
      <c r="AC181">
        <v>2.3071086940112906</v>
      </c>
      <c r="AD181">
        <v>0.86588336647841402</v>
      </c>
      <c r="AE181">
        <v>0.21170030329720646</v>
      </c>
      <c r="AF181">
        <v>-1.0476345114465744</v>
      </c>
      <c r="AG181">
        <v>0.819637941437378</v>
      </c>
      <c r="AH181">
        <v>1.3480685099695506</v>
      </c>
      <c r="AI181">
        <v>1.5597514013052489</v>
      </c>
      <c r="AJ181">
        <v>3.1170496856576477</v>
      </c>
      <c r="AK181">
        <v>2.4957403992124796</v>
      </c>
      <c r="AL181">
        <v>1.5975088662553105</v>
      </c>
      <c r="AM181">
        <v>2.0627333249072279</v>
      </c>
      <c r="AN181">
        <v>2.0646237607592042</v>
      </c>
      <c r="AO181">
        <v>1.1657648377341587</v>
      </c>
      <c r="AP181">
        <v>2.6918910303197094</v>
      </c>
      <c r="AQ181">
        <v>2.0675159415201989</v>
      </c>
      <c r="AR181">
        <v>1.299812987775951</v>
      </c>
      <c r="AS181">
        <v>3.2701337122460643</v>
      </c>
      <c r="AT181">
        <v>4.3749918433342287</v>
      </c>
      <c r="AU181">
        <v>3.8776935626116682</v>
      </c>
      <c r="AV181">
        <v>2.2860866288158377</v>
      </c>
      <c r="AW181">
        <v>1.1974497251586769</v>
      </c>
      <c r="AX181">
        <v>1.9795901318305482</v>
      </c>
      <c r="AY181">
        <v>2.5766211479985657</v>
      </c>
      <c r="AZ181">
        <v>2.0494275297879625</v>
      </c>
      <c r="BA181">
        <v>2.4122661466863491</v>
      </c>
      <c r="BB181">
        <v>0.43766052772778608</v>
      </c>
      <c r="BC181">
        <v>0.71027280704858242</v>
      </c>
      <c r="BD181">
        <v>0.2426558381901458</v>
      </c>
      <c r="BE181">
        <v>1.3291296208736583</v>
      </c>
      <c r="BF181">
        <v>1.1449274411919959</v>
      </c>
      <c r="BG181">
        <v>0.34407805927591539</v>
      </c>
      <c r="BH181">
        <v>0.88843295411400902</v>
      </c>
      <c r="BI181">
        <v>0.56554376006997131</v>
      </c>
      <c r="BJ181">
        <v>1.439327066561674</v>
      </c>
      <c r="BK181">
        <v>2.5334028933161648</v>
      </c>
      <c r="BL181">
        <v>3.0278837000878411</v>
      </c>
      <c r="BM181">
        <v>2.3557302230626078</v>
      </c>
      <c r="BN181">
        <v>2.7473432974803842</v>
      </c>
      <c r="BO181">
        <v>6.1555749650832752</v>
      </c>
      <c r="BP181">
        <v>7.3437425632659767</v>
      </c>
      <c r="BQ181">
        <v>5.1998130297298957</v>
      </c>
    </row>
    <row r="182" spans="1:69" hidden="1" x14ac:dyDescent="0.2">
      <c r="A182" t="s">
        <v>425</v>
      </c>
      <c r="B182" t="s">
        <v>426</v>
      </c>
      <c r="C182" t="s">
        <v>71</v>
      </c>
      <c r="D182" t="s">
        <v>72</v>
      </c>
      <c r="F182">
        <v>2.6476252392213553</v>
      </c>
      <c r="G182">
        <v>4.7664223130930168</v>
      </c>
      <c r="H182">
        <v>3.3926984634499888</v>
      </c>
      <c r="I182">
        <v>4.722132716592526</v>
      </c>
      <c r="J182">
        <v>4.7746348554103406</v>
      </c>
      <c r="K182">
        <v>3.9770817178945066</v>
      </c>
      <c r="L182">
        <v>2.9649754259288414</v>
      </c>
      <c r="M182">
        <v>4.423876852756166</v>
      </c>
      <c r="N182">
        <v>4.1955376219299012</v>
      </c>
      <c r="O182">
        <v>12.874569223442009</v>
      </c>
      <c r="P182">
        <v>6.3831147043594854</v>
      </c>
      <c r="Q182">
        <v>5.5174897530894071</v>
      </c>
      <c r="R182">
        <v>8.6845650556162326</v>
      </c>
      <c r="S182">
        <v>11.372042200681392</v>
      </c>
      <c r="T182">
        <v>8.8851544596166008</v>
      </c>
      <c r="U182">
        <v>7.8405744198455096</v>
      </c>
      <c r="V182">
        <v>8.1697343538824896</v>
      </c>
      <c r="W182">
        <v>6.260494908208301</v>
      </c>
      <c r="X182">
        <v>5.7026004648860464</v>
      </c>
      <c r="Y182">
        <v>13.126500017465048</v>
      </c>
      <c r="Z182">
        <v>12.879146841428792</v>
      </c>
      <c r="AA182">
        <v>10.509972585026645</v>
      </c>
      <c r="AB182">
        <v>6.9621582660122812</v>
      </c>
      <c r="AC182">
        <v>6.2100619102204178</v>
      </c>
      <c r="AD182">
        <v>5.1979226099030313</v>
      </c>
      <c r="AE182">
        <v>-0.55079943695012901</v>
      </c>
      <c r="AF182">
        <v>7.2211901572019315</v>
      </c>
      <c r="AG182">
        <v>4.8685236926316264</v>
      </c>
      <c r="AH182">
        <v>5.6122679809531064</v>
      </c>
      <c r="AI182">
        <v>3.8115722249412016</v>
      </c>
      <c r="AJ182">
        <v>2.2118006261999028</v>
      </c>
      <c r="AK182">
        <v>-0.63975977448357924</v>
      </c>
      <c r="AL182">
        <v>2.2929203616326959</v>
      </c>
      <c r="AM182">
        <v>-0.15599776259458054</v>
      </c>
      <c r="AN182">
        <v>3.0614192660163582</v>
      </c>
      <c r="AO182">
        <v>4.2615464347796461</v>
      </c>
      <c r="AP182">
        <v>2.7857106772716662</v>
      </c>
      <c r="AQ182">
        <v>-0.6925922638252473</v>
      </c>
      <c r="AR182">
        <v>6.6230229395490881</v>
      </c>
      <c r="AS182">
        <v>15.333309928011801</v>
      </c>
      <c r="AT182">
        <v>1.7126402814343464</v>
      </c>
      <c r="AU182">
        <v>-1.52020673574917</v>
      </c>
      <c r="AV182">
        <v>2.8608233145371145</v>
      </c>
      <c r="AW182">
        <v>5.8502058145734992</v>
      </c>
      <c r="AX182">
        <v>8.7630041281502571</v>
      </c>
      <c r="AY182">
        <v>8.7321882607715793</v>
      </c>
      <c r="AZ182">
        <v>3.0776619836092323</v>
      </c>
      <c r="BA182">
        <v>10.566383025003702</v>
      </c>
      <c r="BB182">
        <v>-5.1159439784672571</v>
      </c>
      <c r="BC182">
        <v>5.9553613211518268</v>
      </c>
      <c r="BD182">
        <v>6.6727899950643348</v>
      </c>
      <c r="BE182">
        <v>3.3530893188516586</v>
      </c>
      <c r="BF182">
        <v>2.5532389007311735</v>
      </c>
      <c r="BG182">
        <v>0.2583328432109937</v>
      </c>
      <c r="BH182">
        <v>-2.8044681119863952</v>
      </c>
      <c r="BI182">
        <v>-1.5980971677218747</v>
      </c>
      <c r="BJ182">
        <v>4.0809493608948202</v>
      </c>
      <c r="BK182">
        <v>6.7429246019348597</v>
      </c>
      <c r="BL182">
        <v>-0.54843700245574212</v>
      </c>
      <c r="BM182">
        <v>-2.5172606025626862</v>
      </c>
      <c r="BN182">
        <v>20.213475493748902</v>
      </c>
      <c r="BO182">
        <v>28.416785192293247</v>
      </c>
      <c r="BP182">
        <v>-11.076803422959188</v>
      </c>
      <c r="BQ182">
        <v>-0.20467358155498516</v>
      </c>
    </row>
    <row r="183" spans="1:69" hidden="1" x14ac:dyDescent="0.2">
      <c r="A183" t="s">
        <v>427</v>
      </c>
      <c r="B183" t="s">
        <v>428</v>
      </c>
      <c r="C183" t="s">
        <v>71</v>
      </c>
      <c r="D183" t="s">
        <v>72</v>
      </c>
      <c r="F183">
        <v>2.6879999899922353</v>
      </c>
      <c r="G183">
        <v>5.8970910039698055</v>
      </c>
      <c r="H183">
        <v>3.5699250638936206</v>
      </c>
      <c r="I183">
        <v>1.1947196809323941</v>
      </c>
      <c r="J183">
        <v>12.885193956419357</v>
      </c>
      <c r="K183">
        <v>15.218813507808719</v>
      </c>
      <c r="L183">
        <v>-5.667665035192968</v>
      </c>
      <c r="M183">
        <v>11.065826203773128</v>
      </c>
      <c r="N183">
        <v>6.5638310794559231</v>
      </c>
      <c r="O183">
        <v>7.0483308371702691</v>
      </c>
      <c r="P183">
        <v>3.1721761416160632</v>
      </c>
      <c r="Q183">
        <v>12.502683343190085</v>
      </c>
      <c r="R183">
        <v>-3.3973055951102396</v>
      </c>
      <c r="S183">
        <v>20.825669532873064</v>
      </c>
      <c r="T183">
        <v>27.522746984809771</v>
      </c>
      <c r="U183">
        <v>0.54404234012301345</v>
      </c>
      <c r="V183">
        <v>-3.5648215643168868</v>
      </c>
      <c r="W183">
        <v>9.371206913397387</v>
      </c>
      <c r="X183">
        <v>9.9783634264062329</v>
      </c>
      <c r="Y183">
        <v>7.6095465522724197</v>
      </c>
      <c r="Z183">
        <v>7.9373564075632288</v>
      </c>
      <c r="AA183">
        <v>9.3474096737459149</v>
      </c>
      <c r="AB183">
        <v>12.288691097015374</v>
      </c>
      <c r="AC183">
        <v>6.3779499734906864</v>
      </c>
      <c r="AD183">
        <v>11.42183275608069</v>
      </c>
      <c r="AE183">
        <v>14.392570079200624</v>
      </c>
      <c r="AF183">
        <v>12.696801867664348</v>
      </c>
      <c r="AG183">
        <v>11.815310196230229</v>
      </c>
      <c r="AH183">
        <v>11.258372911190293</v>
      </c>
      <c r="AI183">
        <v>10.715885153227077</v>
      </c>
      <c r="AJ183">
        <v>12.544638209428371</v>
      </c>
      <c r="AK183">
        <v>18.489094630457387</v>
      </c>
      <c r="AL183">
        <v>10.774909271590388</v>
      </c>
      <c r="AM183">
        <v>4.8159862010783314</v>
      </c>
      <c r="AN183">
        <v>6.3008615502761813</v>
      </c>
      <c r="AO183">
        <v>7.8230355612473517</v>
      </c>
      <c r="AP183">
        <v>7.2790929776352016</v>
      </c>
      <c r="AQ183">
        <v>4.1078506762858069</v>
      </c>
      <c r="AR183">
        <v>8.8870474257355596</v>
      </c>
      <c r="AS183">
        <v>4.4724337187195289</v>
      </c>
      <c r="AT183">
        <v>11.017148295892085</v>
      </c>
      <c r="AU183">
        <v>3.9348578981679907</v>
      </c>
      <c r="AV183">
        <v>3.0703049673214764</v>
      </c>
      <c r="AW183">
        <v>4.1664271507483477</v>
      </c>
      <c r="AX183">
        <v>6.1193904079363648</v>
      </c>
      <c r="AY183">
        <v>7.3600392790254432</v>
      </c>
      <c r="AZ183">
        <v>7.6032889406115061</v>
      </c>
      <c r="BA183">
        <v>5.6198545238214166</v>
      </c>
      <c r="BB183">
        <v>15.908330210245538</v>
      </c>
      <c r="BC183">
        <v>15.146932449007224</v>
      </c>
      <c r="BD183">
        <v>26.39730666496753</v>
      </c>
      <c r="BE183">
        <v>7.7411500296797016</v>
      </c>
      <c r="BF183">
        <v>7.0826509989137918</v>
      </c>
      <c r="BG183">
        <v>8.0353661958790497</v>
      </c>
      <c r="BH183">
        <v>4.4090454332878579</v>
      </c>
      <c r="BI183">
        <v>7.1503347875128185</v>
      </c>
      <c r="BJ183">
        <v>8.2614125491508901</v>
      </c>
      <c r="BK183">
        <v>4.3558584680418022</v>
      </c>
      <c r="BL183">
        <v>4.691155932924957</v>
      </c>
      <c r="BM183">
        <v>3.2174023324111403</v>
      </c>
      <c r="BN183">
        <v>6.762712163312699</v>
      </c>
      <c r="BO183">
        <v>8.2411919550254567</v>
      </c>
      <c r="BP183">
        <v>5.7490285933513121</v>
      </c>
      <c r="BQ183">
        <v>2.6130088397852518</v>
      </c>
    </row>
    <row r="184" spans="1:69" hidden="1" x14ac:dyDescent="0.2">
      <c r="A184" t="s">
        <v>429</v>
      </c>
      <c r="B184" t="s">
        <v>430</v>
      </c>
      <c r="C184" t="s">
        <v>71</v>
      </c>
      <c r="D184" t="s">
        <v>72</v>
      </c>
      <c r="P184">
        <v>5.1428607391204224</v>
      </c>
      <c r="Q184">
        <v>6.5217356205821346</v>
      </c>
      <c r="R184">
        <v>8.1632658088110617</v>
      </c>
      <c r="S184">
        <v>14.622640539099763</v>
      </c>
      <c r="T184">
        <v>16.872431972495121</v>
      </c>
      <c r="U184">
        <v>11.97182889434329</v>
      </c>
      <c r="V184">
        <v>13.522012544897578</v>
      </c>
      <c r="W184">
        <v>8.0332432268358502</v>
      </c>
      <c r="X184">
        <v>8.717946527771602</v>
      </c>
      <c r="Y184">
        <v>10.849056656850479</v>
      </c>
      <c r="Z184">
        <v>8.7234046388097113</v>
      </c>
      <c r="AA184">
        <v>10.763208429166156</v>
      </c>
      <c r="AB184">
        <v>11.130741904949389</v>
      </c>
      <c r="AC184">
        <v>3.9745636316511366</v>
      </c>
      <c r="AD184">
        <v>6.5749234487238795</v>
      </c>
      <c r="AE184">
        <v>8.4648489371473232</v>
      </c>
      <c r="AF184">
        <v>9.2592590881242671</v>
      </c>
      <c r="AG184">
        <v>7.1428566705311454</v>
      </c>
      <c r="AH184">
        <v>7.570621994623707</v>
      </c>
      <c r="AI184">
        <v>12.600000843633353</v>
      </c>
      <c r="AJ184">
        <v>14.416482624309396</v>
      </c>
      <c r="AK184">
        <v>18.623908547482898</v>
      </c>
      <c r="AL184">
        <v>11.111058207169108</v>
      </c>
      <c r="AM184">
        <v>-3.5678642497737343</v>
      </c>
      <c r="AN184">
        <v>1.7681350342869422</v>
      </c>
      <c r="AO184">
        <v>4.0542249100172825</v>
      </c>
      <c r="AP184">
        <v>6.122239254313655</v>
      </c>
      <c r="AQ184">
        <v>3.9336025423890817</v>
      </c>
      <c r="AR184">
        <v>6.7282027333422434</v>
      </c>
      <c r="AS184">
        <v>5.5667205821483776</v>
      </c>
      <c r="AT184">
        <v>5.3890634445390191</v>
      </c>
      <c r="AU184">
        <v>5.8851953352650526</v>
      </c>
      <c r="AV184">
        <v>5.6134509731774926</v>
      </c>
      <c r="AW184">
        <v>5.6293156548907746</v>
      </c>
      <c r="AX184">
        <v>-5.9860263701123699</v>
      </c>
      <c r="AY184">
        <v>-10.678018517107375</v>
      </c>
      <c r="AZ184">
        <v>-3.1193354095801169</v>
      </c>
      <c r="BA184">
        <v>17.416785652808016</v>
      </c>
      <c r="BB184">
        <v>52.590081882478557</v>
      </c>
      <c r="BC184">
        <v>-9.7752931478864156</v>
      </c>
      <c r="BD184">
        <v>7.726922520769449</v>
      </c>
      <c r="BE184">
        <v>17.544649624536547</v>
      </c>
      <c r="BF184">
        <v>-9.1919893214734714</v>
      </c>
      <c r="BG184">
        <v>0.42769886981118077</v>
      </c>
      <c r="BH184">
        <v>-8.1893500010976226</v>
      </c>
      <c r="BI184">
        <v>26.2510936824673</v>
      </c>
      <c r="BJ184">
        <v>14.923560044844436</v>
      </c>
      <c r="BK184">
        <v>18.47243867738446</v>
      </c>
      <c r="BL184">
        <v>-4.7285061981347241</v>
      </c>
      <c r="BM184">
        <v>4.3310539266538086</v>
      </c>
      <c r="BN184">
        <v>18.081576463145339</v>
      </c>
      <c r="BO184">
        <v>-13.365340525028131</v>
      </c>
      <c r="BP184">
        <v>6.5967870777013928</v>
      </c>
      <c r="BQ184">
        <v>6.8103062148491915</v>
      </c>
    </row>
    <row r="185" spans="1:69" hidden="1" x14ac:dyDescent="0.2">
      <c r="A185" t="s">
        <v>431</v>
      </c>
      <c r="B185" t="s">
        <v>432</v>
      </c>
      <c r="C185" t="s">
        <v>71</v>
      </c>
      <c r="D185" t="s">
        <v>72</v>
      </c>
      <c r="F185">
        <v>0.21246210329817927</v>
      </c>
      <c r="G185">
        <v>4.5169797588277447</v>
      </c>
      <c r="H185">
        <v>2.9555621974746771</v>
      </c>
      <c r="I185">
        <v>3.2653260568850726</v>
      </c>
      <c r="J185">
        <v>1.859151331510958</v>
      </c>
      <c r="K185">
        <v>-2.3976804030801446</v>
      </c>
      <c r="L185">
        <v>8.7003531794244537</v>
      </c>
      <c r="M185">
        <v>5.8098858892571883</v>
      </c>
      <c r="N185">
        <v>0.92570668167920189</v>
      </c>
      <c r="O185">
        <v>13.305590423727082</v>
      </c>
      <c r="P185">
        <v>13.880273276186458</v>
      </c>
      <c r="Q185">
        <v>9.2435881184609343</v>
      </c>
      <c r="R185">
        <v>8.4251584639811341</v>
      </c>
      <c r="S185">
        <v>3.6661892084015761</v>
      </c>
      <c r="T185">
        <v>14.62590725259976</v>
      </c>
      <c r="U185">
        <v>21.491870551369203</v>
      </c>
      <c r="V185">
        <v>16.614100066648874</v>
      </c>
      <c r="W185">
        <v>12.981512957756308</v>
      </c>
      <c r="X185">
        <v>14.225150899788417</v>
      </c>
      <c r="Y185">
        <v>14.904315599869349</v>
      </c>
      <c r="Z185">
        <v>16.346967888413474</v>
      </c>
      <c r="AA185">
        <v>12.085347448357126</v>
      </c>
      <c r="AB185">
        <v>7.7252723865774726</v>
      </c>
      <c r="AC185">
        <v>7.7995103977409883</v>
      </c>
      <c r="AD185">
        <v>13.634095288210645</v>
      </c>
      <c r="AE185">
        <v>16.948135883414352</v>
      </c>
      <c r="AF185">
        <v>11.4710716444296</v>
      </c>
      <c r="AG185">
        <v>7.9075538348268424</v>
      </c>
      <c r="AH185">
        <v>5.6395398036626574</v>
      </c>
      <c r="AI185">
        <v>2.4235930508273782</v>
      </c>
      <c r="AJ185">
        <v>0.89032978012781427</v>
      </c>
      <c r="AK185">
        <v>2.0014160299106578</v>
      </c>
      <c r="AL185">
        <v>1.4796849709661757</v>
      </c>
      <c r="AM185">
        <v>1.9069829572605954</v>
      </c>
      <c r="AN185">
        <v>1.4310920750179292</v>
      </c>
      <c r="AO185">
        <v>1.393085351275559</v>
      </c>
      <c r="AP185">
        <v>1.5618070515281346</v>
      </c>
      <c r="AQ185">
        <v>1.0511886956067258</v>
      </c>
      <c r="AR185">
        <v>0.58468736367433394</v>
      </c>
      <c r="AS185">
        <v>2.8848785091145004</v>
      </c>
      <c r="AT185">
        <v>3.8613954459345763</v>
      </c>
      <c r="AU185">
        <v>0.29840641548840097</v>
      </c>
      <c r="AV185">
        <v>2.0693194274002309</v>
      </c>
      <c r="AW185">
        <v>2.7590129434414337</v>
      </c>
      <c r="AX185">
        <v>2.0005781831158771</v>
      </c>
      <c r="AY185">
        <v>2.7096252436835044</v>
      </c>
      <c r="AZ185">
        <v>5.3095904569566414</v>
      </c>
      <c r="BA185">
        <v>2.7420110540568743</v>
      </c>
      <c r="BB185">
        <v>2.6353635260986294</v>
      </c>
      <c r="BC185">
        <v>3.1597268270136425</v>
      </c>
      <c r="BD185">
        <v>2.4727034528576866</v>
      </c>
      <c r="BE185">
        <v>-0.17892461930406967</v>
      </c>
      <c r="BF185">
        <v>4.1833629832299692</v>
      </c>
      <c r="BG185">
        <v>0.44762337746982439</v>
      </c>
      <c r="BH185">
        <v>1.4639684282969654</v>
      </c>
      <c r="BI185">
        <v>2.4204771459118746</v>
      </c>
      <c r="BJ185">
        <v>3.614623781704779</v>
      </c>
      <c r="BK185">
        <v>1.7601750188471925</v>
      </c>
      <c r="BL185">
        <v>3.1399305744616441</v>
      </c>
      <c r="BM185">
        <v>1.9174460359337786</v>
      </c>
      <c r="BN185">
        <v>4.5634463012784039</v>
      </c>
      <c r="BO185">
        <v>5.8914687613354602</v>
      </c>
      <c r="BP185">
        <v>4.1498485781929872</v>
      </c>
      <c r="BQ185">
        <v>3.601447728486022</v>
      </c>
    </row>
    <row r="186" spans="1:69" hidden="1" x14ac:dyDescent="0.2">
      <c r="A186" t="s">
        <v>433</v>
      </c>
      <c r="B186" t="s">
        <v>434</v>
      </c>
      <c r="C186" t="s">
        <v>71</v>
      </c>
      <c r="D186" t="s">
        <v>72</v>
      </c>
      <c r="F186">
        <v>3.2219679561588777</v>
      </c>
      <c r="G186">
        <v>4.1995775696135098</v>
      </c>
      <c r="H186">
        <v>3.3926984634499888</v>
      </c>
      <c r="I186">
        <v>4.6424265584862354</v>
      </c>
      <c r="J186">
        <v>4.117855660964878</v>
      </c>
      <c r="K186">
        <v>4.9209043503957162</v>
      </c>
      <c r="L186">
        <v>3.2477625680088948</v>
      </c>
      <c r="M186">
        <v>4.236629235751991</v>
      </c>
      <c r="N186">
        <v>4.8267827769719105</v>
      </c>
      <c r="O186">
        <v>6.8650349244104376</v>
      </c>
      <c r="P186">
        <v>7.1788396228639897</v>
      </c>
      <c r="Q186">
        <v>7.1882518096280563</v>
      </c>
      <c r="R186">
        <v>9.9288066513810946</v>
      </c>
      <c r="S186">
        <v>15.945109270463803</v>
      </c>
      <c r="T186">
        <v>14.512402002650077</v>
      </c>
      <c r="U186">
        <v>14.019868782226368</v>
      </c>
      <c r="V186">
        <v>11.41866058195906</v>
      </c>
      <c r="W186">
        <v>9.2346823935187672</v>
      </c>
      <c r="X186">
        <v>10.070050520109561</v>
      </c>
      <c r="Y186">
        <v>13.126500017465048</v>
      </c>
      <c r="Z186">
        <v>11.569262881932545</v>
      </c>
      <c r="AA186">
        <v>10.509972585026645</v>
      </c>
      <c r="AB186">
        <v>8.1953415946888839</v>
      </c>
      <c r="AC186">
        <v>7.073274766739118</v>
      </c>
      <c r="AD186">
        <v>5.5041418225943488</v>
      </c>
      <c r="AE186">
        <v>5.2394149768332738</v>
      </c>
      <c r="AF186">
        <v>5.4405490598282711</v>
      </c>
      <c r="AG186">
        <v>6.5712063600313968</v>
      </c>
      <c r="AH186">
        <v>6.1973879957049718</v>
      </c>
      <c r="AI186">
        <v>6.0945898359240829</v>
      </c>
      <c r="AJ186">
        <v>7.9140587757358745</v>
      </c>
      <c r="AK186">
        <v>4.8392202409070393</v>
      </c>
      <c r="AL186">
        <v>4.8564969085311986</v>
      </c>
      <c r="AM186">
        <v>3.5424246988789392</v>
      </c>
      <c r="AN186">
        <v>4.5633502440033737</v>
      </c>
      <c r="AO186">
        <v>3.6584070450925097</v>
      </c>
      <c r="AP186">
        <v>2.7699055951065574</v>
      </c>
      <c r="AQ186">
        <v>2.8693871408992635</v>
      </c>
      <c r="AR186">
        <v>2.0558117285786963</v>
      </c>
      <c r="AS186">
        <v>3.1417561469475928</v>
      </c>
      <c r="AT186">
        <v>3.3876590502837658</v>
      </c>
      <c r="AU186">
        <v>2.8970054326748382</v>
      </c>
      <c r="AV186">
        <v>2.6239339903770542</v>
      </c>
      <c r="AW186">
        <v>3.0430696475830814</v>
      </c>
      <c r="AX186">
        <v>2.7722575581395574</v>
      </c>
      <c r="AY186">
        <v>2.8439883033212396</v>
      </c>
      <c r="AZ186">
        <v>3.0220038789857782</v>
      </c>
      <c r="BA186">
        <v>3.1995898475137636</v>
      </c>
      <c r="BB186">
        <v>1.7738804867117253</v>
      </c>
      <c r="BC186">
        <v>1.2030723189011923</v>
      </c>
      <c r="BD186">
        <v>1.9952845715049818</v>
      </c>
      <c r="BE186">
        <v>1.8339319258080806</v>
      </c>
      <c r="BF186">
        <v>1.7028815910534192</v>
      </c>
      <c r="BG186">
        <v>1.3621492743216024</v>
      </c>
      <c r="BH186">
        <v>1.3135749970927719</v>
      </c>
      <c r="BI186">
        <v>0.96889745103562319</v>
      </c>
      <c r="BJ186">
        <v>1.7805030679041352</v>
      </c>
      <c r="BK186">
        <v>1.8671745102536121</v>
      </c>
      <c r="BL186">
        <v>2.235768972097425</v>
      </c>
      <c r="BM186">
        <v>1.8395820481957514</v>
      </c>
      <c r="BN186">
        <v>2.7659255486156056</v>
      </c>
      <c r="BO186">
        <v>6.5741849364207212</v>
      </c>
      <c r="BP186">
        <v>6.0376863626675075</v>
      </c>
      <c r="BQ186">
        <v>3.1525097960735593</v>
      </c>
    </row>
    <row r="187" spans="1:69" hidden="1" x14ac:dyDescent="0.2">
      <c r="A187" t="s">
        <v>435</v>
      </c>
      <c r="B187" t="s">
        <v>436</v>
      </c>
      <c r="C187" t="s">
        <v>71</v>
      </c>
      <c r="D187" t="s">
        <v>72</v>
      </c>
      <c r="F187">
        <v>2.0021341095361151</v>
      </c>
      <c r="G187">
        <v>2.6001738697938066</v>
      </c>
      <c r="H187">
        <v>1.8524778493966778</v>
      </c>
      <c r="I187">
        <v>3.1939014859404296</v>
      </c>
      <c r="J187">
        <v>1.8062512501830952</v>
      </c>
      <c r="K187">
        <v>1.7824170991660822</v>
      </c>
      <c r="L187">
        <v>-3.5426167849122834</v>
      </c>
      <c r="M187">
        <v>11.516580653511355</v>
      </c>
      <c r="N187">
        <v>1.1129759602663398</v>
      </c>
      <c r="O187">
        <v>-6.2295012338043847</v>
      </c>
      <c r="P187">
        <v>16.092063407824654</v>
      </c>
      <c r="Q187">
        <v>2.480974566771323</v>
      </c>
      <c r="R187">
        <v>40.309489608405357</v>
      </c>
      <c r="S187">
        <v>200.98638057278868</v>
      </c>
      <c r="T187">
        <v>2.3742339623068318</v>
      </c>
      <c r="U187">
        <v>1.3000207961895853</v>
      </c>
      <c r="V187">
        <v>6.0000960914711357</v>
      </c>
      <c r="W187">
        <v>3.8022839554290755</v>
      </c>
      <c r="X187">
        <v>30.582273463535529</v>
      </c>
      <c r="Y187">
        <v>51.105033521551377</v>
      </c>
      <c r="Z187">
        <v>3.6798601063108549</v>
      </c>
      <c r="AA187">
        <v>-6.7202106753480564</v>
      </c>
      <c r="AB187">
        <v>-9.9990244231446042</v>
      </c>
      <c r="AC187">
        <v>-4.718298534586836</v>
      </c>
      <c r="AD187">
        <v>-0.51200345821392546</v>
      </c>
      <c r="AE187">
        <v>-20.634704765861386</v>
      </c>
      <c r="AF187">
        <v>11.177850566821746</v>
      </c>
      <c r="AG187">
        <v>1.3189690373572489</v>
      </c>
      <c r="AH187">
        <v>-2.7484672671107546E-7</v>
      </c>
      <c r="AI187">
        <v>42.204563370521612</v>
      </c>
      <c r="AJ187">
        <v>-8.502268159594891</v>
      </c>
      <c r="AK187">
        <v>1.2734191883037056</v>
      </c>
      <c r="AL187">
        <v>-5.3873481354675761</v>
      </c>
      <c r="AM187">
        <v>-0.45158979113172393</v>
      </c>
      <c r="AN187">
        <v>1.7587085519735552</v>
      </c>
      <c r="AO187">
        <v>7.4127812521135326</v>
      </c>
      <c r="AP187">
        <v>-2.2341456939104631</v>
      </c>
      <c r="AQ187">
        <v>-11.00168682592475</v>
      </c>
      <c r="AR187">
        <v>10.817884598405087</v>
      </c>
      <c r="AS187">
        <v>17.545024289246157</v>
      </c>
      <c r="AT187">
        <v>-4.6409290451810676</v>
      </c>
      <c r="AU187">
        <v>4.6930227086659642</v>
      </c>
      <c r="AV187">
        <v>9.6383717976208203</v>
      </c>
      <c r="AW187">
        <v>12.496505503059026</v>
      </c>
      <c r="AX187">
        <v>21.733560505695749</v>
      </c>
      <c r="AY187">
        <v>14.563797606437817</v>
      </c>
      <c r="AZ187">
        <v>8.058726405996893</v>
      </c>
      <c r="BA187">
        <v>32.649751638965029</v>
      </c>
      <c r="BB187">
        <v>-25.042152466224039</v>
      </c>
      <c r="BC187">
        <v>14.374991214333647</v>
      </c>
      <c r="BD187">
        <v>15.884491777402005</v>
      </c>
      <c r="BE187">
        <v>3.6064342687494673</v>
      </c>
      <c r="BF187">
        <v>-2.2204118530219432</v>
      </c>
      <c r="BG187">
        <v>1.7572995490739487</v>
      </c>
      <c r="BH187">
        <v>-19.146472518816566</v>
      </c>
      <c r="BI187">
        <v>-9.1362752760545192</v>
      </c>
      <c r="BJ187">
        <v>7.2979432978000744</v>
      </c>
      <c r="BK187">
        <v>11.732294608451738</v>
      </c>
      <c r="BL187">
        <v>-2.6662335534353474</v>
      </c>
      <c r="BM187">
        <v>-10.78356059772959</v>
      </c>
      <c r="BN187">
        <v>12.141050275948444</v>
      </c>
      <c r="BO187">
        <v>16.496324999354869</v>
      </c>
      <c r="BP187">
        <v>-4.7331188211864514</v>
      </c>
      <c r="BQ187">
        <v>-0.67401449565829807</v>
      </c>
    </row>
    <row r="188" spans="1:69" hidden="1" x14ac:dyDescent="0.2">
      <c r="A188" t="s">
        <v>437</v>
      </c>
      <c r="B188" t="s">
        <v>438</v>
      </c>
      <c r="C188" t="s">
        <v>71</v>
      </c>
      <c r="D188" t="s">
        <v>72</v>
      </c>
      <c r="T188">
        <v>5.261581032567193</v>
      </c>
      <c r="U188">
        <v>6.7562117762422957</v>
      </c>
      <c r="V188">
        <v>8.4015596410993325</v>
      </c>
      <c r="W188">
        <v>4.4339068690636978</v>
      </c>
      <c r="X188">
        <v>13.478137153121786</v>
      </c>
      <c r="Y188">
        <v>19.396661731110001</v>
      </c>
      <c r="Z188">
        <v>9.942262922948629</v>
      </c>
      <c r="AA188">
        <v>6.9084275232115928</v>
      </c>
      <c r="AB188">
        <v>4.890762773975311</v>
      </c>
      <c r="AC188">
        <v>8.4742568112081571</v>
      </c>
      <c r="AD188">
        <v>4.6671832472758012</v>
      </c>
      <c r="AE188">
        <v>7.2888570897262568</v>
      </c>
      <c r="AF188">
        <v>5.4121169249753578</v>
      </c>
      <c r="AG188">
        <v>4.9719641753092958</v>
      </c>
      <c r="AH188">
        <v>5.7365326104500625</v>
      </c>
      <c r="AI188">
        <v>6.2877652790861518</v>
      </c>
      <c r="AJ188">
        <v>8.2421236150082322</v>
      </c>
      <c r="AK188">
        <v>5.6983907830953981</v>
      </c>
      <c r="AL188">
        <v>6.6582918914619498</v>
      </c>
      <c r="AM188">
        <v>5.9132064269919198</v>
      </c>
      <c r="AN188">
        <v>8.3026785381813042</v>
      </c>
      <c r="AO188">
        <v>3.9275149134842948</v>
      </c>
      <c r="AP188">
        <v>2.4954930027698694</v>
      </c>
      <c r="AQ188">
        <v>2.9212296824478514</v>
      </c>
      <c r="AR188">
        <v>5.9908097534383771</v>
      </c>
      <c r="AS188">
        <v>2.8711736169027731</v>
      </c>
      <c r="AT188">
        <v>6.5403654550736121</v>
      </c>
      <c r="AU188">
        <v>3.8919086355557653</v>
      </c>
      <c r="AV188">
        <v>5.2497566212603815</v>
      </c>
      <c r="AW188">
        <v>4.1085847478402187</v>
      </c>
      <c r="AX188">
        <v>3.5069803593964863</v>
      </c>
      <c r="AY188">
        <v>5.6074473861119856</v>
      </c>
      <c r="AZ188">
        <v>6.661306619244435</v>
      </c>
      <c r="BA188">
        <v>7.0259364251561109</v>
      </c>
      <c r="BB188">
        <v>2.1004908906394633</v>
      </c>
      <c r="BC188">
        <v>2.3235056082006054</v>
      </c>
      <c r="BD188">
        <v>3.1290666937805227</v>
      </c>
      <c r="BE188">
        <v>3.2804624578845036</v>
      </c>
      <c r="BF188">
        <v>2.8554620728530864</v>
      </c>
      <c r="BG188">
        <v>2.1683040492601435</v>
      </c>
      <c r="BH188">
        <v>1.7393488019640415</v>
      </c>
      <c r="BI188">
        <v>2.1256487912797155</v>
      </c>
      <c r="BJ188">
        <v>2.1246091536609697</v>
      </c>
      <c r="BK188">
        <v>2.0642961024200446</v>
      </c>
      <c r="BL188">
        <v>2.022148687277209</v>
      </c>
      <c r="BM188">
        <v>0.58071954807013526</v>
      </c>
      <c r="BN188">
        <v>3.1572003509057254</v>
      </c>
      <c r="BO188">
        <v>7.5975750247303324</v>
      </c>
      <c r="BP188">
        <v>4.8256583081919686</v>
      </c>
      <c r="BQ188">
        <v>3.3433995548822537</v>
      </c>
    </row>
    <row r="189" spans="1:69" hidden="1" x14ac:dyDescent="0.2">
      <c r="A189" t="s">
        <v>439</v>
      </c>
      <c r="B189" t="s">
        <v>440</v>
      </c>
      <c r="C189" t="s">
        <v>71</v>
      </c>
      <c r="D189" t="s">
        <v>72</v>
      </c>
      <c r="F189">
        <v>3.6464612869907995</v>
      </c>
      <c r="G189">
        <v>0.15994817784113025</v>
      </c>
      <c r="H189">
        <v>-1.1492660535955821</v>
      </c>
      <c r="I189">
        <v>4.4884464776269368</v>
      </c>
      <c r="J189">
        <v>3.1658826532695343</v>
      </c>
      <c r="K189">
        <v>4.6006583101452918</v>
      </c>
      <c r="L189">
        <v>7.939641765786547</v>
      </c>
      <c r="M189">
        <v>0.46928856816057873</v>
      </c>
      <c r="N189">
        <v>2.3355714066568822</v>
      </c>
      <c r="O189">
        <v>3.7083530222193417</v>
      </c>
      <c r="P189">
        <v>5.8704905052288154</v>
      </c>
      <c r="Q189">
        <v>6.774575140905867</v>
      </c>
      <c r="R189">
        <v>15.301473539195314</v>
      </c>
      <c r="S189">
        <v>26.07370178510476</v>
      </c>
      <c r="T189">
        <v>21.098098910311379</v>
      </c>
      <c r="U189">
        <v>11.502459895844126</v>
      </c>
      <c r="V189">
        <v>10.506665893972752</v>
      </c>
      <c r="W189">
        <v>8.982345695879502</v>
      </c>
      <c r="X189">
        <v>6.5334000719697229</v>
      </c>
      <c r="Y189">
        <v>9.0082093608001088</v>
      </c>
      <c r="Z189">
        <v>10.077339576149996</v>
      </c>
      <c r="AA189">
        <v>9.3716477370008562</v>
      </c>
      <c r="AB189">
        <v>5.2740836291093558</v>
      </c>
      <c r="AC189">
        <v>9.6535544523698178</v>
      </c>
      <c r="AD189">
        <v>4.5349427871235264</v>
      </c>
      <c r="AE189">
        <v>3.2920008372030054</v>
      </c>
      <c r="AF189">
        <v>4.5182057777429065</v>
      </c>
      <c r="AG189">
        <v>9.6175606497802306</v>
      </c>
      <c r="AH189">
        <v>8.5850480171934436</v>
      </c>
      <c r="AI189">
        <v>6.4519991679097899</v>
      </c>
      <c r="AJ189">
        <v>13.492416253722354</v>
      </c>
      <c r="AK189">
        <v>10.20140776260186</v>
      </c>
      <c r="AL189">
        <v>8.8385531276965708</v>
      </c>
      <c r="AM189">
        <v>13.028416049046186</v>
      </c>
      <c r="AN189">
        <v>13.006484467507391</v>
      </c>
      <c r="AO189">
        <v>8.3736099945946876</v>
      </c>
      <c r="AP189">
        <v>13.383514638671315</v>
      </c>
      <c r="AQ189">
        <v>7.5260368956337516</v>
      </c>
      <c r="AR189">
        <v>5.8622861838065035</v>
      </c>
      <c r="AS189">
        <v>68.010444996710305</v>
      </c>
      <c r="AT189">
        <v>6.0127924338173813</v>
      </c>
      <c r="AU189">
        <v>3.9213785706568842</v>
      </c>
      <c r="AV189">
        <v>3.5526580799610628</v>
      </c>
      <c r="AW189">
        <v>7.251342984163216</v>
      </c>
      <c r="AX189">
        <v>5.5560817680806736</v>
      </c>
      <c r="AY189">
        <v>5.9976381767040721</v>
      </c>
      <c r="AZ189">
        <v>10.331324591672811</v>
      </c>
      <c r="BA189">
        <v>10.920467272077516</v>
      </c>
      <c r="BB189">
        <v>12.374626293127136</v>
      </c>
      <c r="BC189">
        <v>10.588644262424495</v>
      </c>
      <c r="BD189">
        <v>16.410956267514436</v>
      </c>
      <c r="BE189">
        <v>9.9183154377639653</v>
      </c>
      <c r="BF189">
        <v>7.3831069673849754</v>
      </c>
      <c r="BG189">
        <v>7.2097654392607922</v>
      </c>
      <c r="BH189">
        <v>4.4419803343850361</v>
      </c>
      <c r="BI189">
        <v>0.92216332626200881</v>
      </c>
      <c r="BJ189">
        <v>4.0297459932557871</v>
      </c>
      <c r="BK189">
        <v>3.8417866327479686</v>
      </c>
      <c r="BL189">
        <v>9.0363348417050702</v>
      </c>
      <c r="BM189">
        <v>9.9444982105729025</v>
      </c>
      <c r="BN189">
        <v>10.267342080669437</v>
      </c>
      <c r="BO189">
        <v>13.93701123929381</v>
      </c>
      <c r="BP189">
        <v>25.989971140811136</v>
      </c>
      <c r="BQ189">
        <v>21.867403389494484</v>
      </c>
    </row>
    <row r="190" spans="1:69" hidden="1" x14ac:dyDescent="0.2">
      <c r="A190" t="s">
        <v>441</v>
      </c>
      <c r="B190" t="s">
        <v>442</v>
      </c>
      <c r="C190" t="s">
        <v>71</v>
      </c>
      <c r="D190" t="s">
        <v>72</v>
      </c>
      <c r="F190">
        <v>0.53492853402144647</v>
      </c>
      <c r="G190">
        <v>0.57161868918133507</v>
      </c>
      <c r="H190">
        <v>2.1164575147209774</v>
      </c>
      <c r="I190">
        <v>2.8242852311884548</v>
      </c>
      <c r="J190">
        <v>0.62005728167365248</v>
      </c>
      <c r="K190">
        <v>1.2776320539576744</v>
      </c>
      <c r="L190">
        <v>2.5886728545902287</v>
      </c>
      <c r="M190">
        <v>0.56411776262575586</v>
      </c>
      <c r="N190">
        <v>1.2081923337637051</v>
      </c>
      <c r="O190">
        <v>3.4224377944515254</v>
      </c>
      <c r="P190">
        <v>2.9033395329574745</v>
      </c>
      <c r="Q190">
        <v>4.9980209398342765</v>
      </c>
      <c r="R190">
        <v>8.5422257938265034</v>
      </c>
      <c r="S190">
        <v>11.611379752233162</v>
      </c>
      <c r="T190">
        <v>9.3828344797454122</v>
      </c>
      <c r="U190">
        <v>4.5345118782453113</v>
      </c>
      <c r="V190">
        <v>4.6567953379166909</v>
      </c>
      <c r="W190">
        <v>7.9213564186133851</v>
      </c>
      <c r="X190">
        <v>9.2452179587968715</v>
      </c>
      <c r="Y190">
        <v>10.140504685808224</v>
      </c>
      <c r="Z190">
        <v>3.6421656153404314</v>
      </c>
      <c r="AA190">
        <v>4.8716849543573062</v>
      </c>
      <c r="AB190">
        <v>7.4969568435769389</v>
      </c>
      <c r="AC190">
        <v>1.6292632401472531</v>
      </c>
      <c r="AD190">
        <v>0.80956522375288387</v>
      </c>
      <c r="AE190">
        <v>0.33844938794081258</v>
      </c>
      <c r="AF190">
        <v>2.2893026470430158</v>
      </c>
      <c r="AG190">
        <v>-0.19192916406399263</v>
      </c>
      <c r="AH190">
        <v>-1.2765582002600837</v>
      </c>
      <c r="AI190">
        <v>0.56520537399184434</v>
      </c>
      <c r="AJ190">
        <v>0.49279633379765642</v>
      </c>
      <c r="AK190">
        <v>5.061059509331173</v>
      </c>
      <c r="AL190">
        <v>3.5547047307799176</v>
      </c>
      <c r="AM190">
        <v>3.6797454101237435</v>
      </c>
      <c r="AN190">
        <v>0.46670710183605024</v>
      </c>
      <c r="AO190">
        <v>1.9466169763288264</v>
      </c>
      <c r="AP190">
        <v>1.5374878904108584</v>
      </c>
      <c r="AQ190">
        <v>1.0733252297928004</v>
      </c>
      <c r="AR190">
        <v>0.57657061826674294</v>
      </c>
      <c r="AS190">
        <v>-1.5225069769964961</v>
      </c>
      <c r="AT190">
        <v>1.4299351928401762</v>
      </c>
      <c r="AU190">
        <v>1.9150696094212947</v>
      </c>
      <c r="AV190">
        <v>1.1161816927088779</v>
      </c>
      <c r="AW190">
        <v>2.6133849726486744</v>
      </c>
      <c r="AX190">
        <v>1.6757434621866878</v>
      </c>
      <c r="AY190">
        <v>2.1747034838707862</v>
      </c>
      <c r="AZ190">
        <v>2.8577512187082452</v>
      </c>
      <c r="BA190">
        <v>7.4764727360633287</v>
      </c>
      <c r="BB190">
        <v>6.333408599984196</v>
      </c>
      <c r="BC190">
        <v>2.5507036796271478</v>
      </c>
      <c r="BD190">
        <v>5.4877033949170198</v>
      </c>
      <c r="BE190">
        <v>6.3182946366142119</v>
      </c>
      <c r="BF190">
        <v>6.1579363087871144</v>
      </c>
      <c r="BG190">
        <v>4.6941193987194936</v>
      </c>
      <c r="BH190">
        <v>3.0147893655541935</v>
      </c>
      <c r="BI190">
        <v>2.4750153320791384</v>
      </c>
      <c r="BJ190">
        <v>1.7946937582834011</v>
      </c>
      <c r="BK190">
        <v>0.70053690472397534</v>
      </c>
      <c r="BL190">
        <v>0.53835074119001547</v>
      </c>
      <c r="BM190">
        <v>-0.49468575374531554</v>
      </c>
      <c r="BN190">
        <v>1.4151172595088468</v>
      </c>
      <c r="BO190">
        <v>2.171807859768407</v>
      </c>
      <c r="BP190">
        <v>1.7067383139794714</v>
      </c>
      <c r="BQ190">
        <v>0.6510135130461947</v>
      </c>
    </row>
    <row r="191" spans="1:69" hidden="1" x14ac:dyDescent="0.2">
      <c r="A191" t="s">
        <v>443</v>
      </c>
      <c r="B191" t="s">
        <v>444</v>
      </c>
      <c r="C191" t="s">
        <v>71</v>
      </c>
      <c r="D191" t="s">
        <v>72</v>
      </c>
      <c r="F191">
        <v>3.1033343319455895</v>
      </c>
      <c r="G191">
        <v>3.012855315335969</v>
      </c>
      <c r="H191">
        <v>5.0137992732698535</v>
      </c>
      <c r="I191">
        <v>13.557594354150936</v>
      </c>
      <c r="J191">
        <v>12.277961360550677</v>
      </c>
      <c r="K191">
        <v>9.316906497438211</v>
      </c>
      <c r="L191">
        <v>10.1151075088395</v>
      </c>
      <c r="M191">
        <v>18.295793692870447</v>
      </c>
      <c r="N191">
        <v>8.1384304763507487</v>
      </c>
      <c r="O191">
        <v>11.981089943679407</v>
      </c>
      <c r="P191">
        <v>6.6403424278692995</v>
      </c>
      <c r="Q191">
        <v>7.1294897747526988</v>
      </c>
      <c r="R191">
        <v>12.575532138610797</v>
      </c>
      <c r="S191">
        <v>15.233435329526685</v>
      </c>
      <c r="T191">
        <v>22.191567769557281</v>
      </c>
      <c r="U191">
        <v>29.712922577851458</v>
      </c>
      <c r="V191">
        <v>35.74134122096271</v>
      </c>
      <c r="W191">
        <v>63.73821735307726</v>
      </c>
      <c r="X191">
        <v>76.349845454330165</v>
      </c>
      <c r="Y191">
        <v>37.92997311585512</v>
      </c>
      <c r="Z191">
        <v>65.330580936065559</v>
      </c>
      <c r="AA191">
        <v>66.663333144556759</v>
      </c>
      <c r="AB191">
        <v>107.39685323912965</v>
      </c>
      <c r="AC191">
        <v>108.47753323460356</v>
      </c>
      <c r="AD191">
        <v>165.73497247931135</v>
      </c>
      <c r="AE191">
        <v>68.363513956520876</v>
      </c>
      <c r="AF191">
        <v>85.649643304075113</v>
      </c>
      <c r="AG191">
        <v>586.27873113152634</v>
      </c>
      <c r="AH191">
        <v>2572.3259262097858</v>
      </c>
      <c r="AI191">
        <v>6261.2395586102975</v>
      </c>
      <c r="AJ191">
        <v>378.04057870977232</v>
      </c>
      <c r="AK191">
        <v>69.260617623755252</v>
      </c>
      <c r="AL191">
        <v>46.384682865326965</v>
      </c>
      <c r="AM191">
        <v>26.688241234940492</v>
      </c>
      <c r="AN191">
        <v>13.578797877150222</v>
      </c>
      <c r="AO191">
        <v>9.6877419612147975</v>
      </c>
      <c r="AP191">
        <v>7.2831311286561231</v>
      </c>
      <c r="AQ191">
        <v>5.3710903574295799</v>
      </c>
      <c r="AR191">
        <v>2.9345454117467966</v>
      </c>
      <c r="AS191">
        <v>3.5247200388048014</v>
      </c>
      <c r="AT191">
        <v>0.45524830290204932</v>
      </c>
      <c r="AU191">
        <v>0.10901702378551192</v>
      </c>
      <c r="AV191">
        <v>1.8037246653412922</v>
      </c>
      <c r="AW191">
        <v>6.2790385771050552</v>
      </c>
      <c r="AX191">
        <v>3.5037224004985887</v>
      </c>
      <c r="AY191">
        <v>7.656248078896823</v>
      </c>
      <c r="AZ191">
        <v>1.4906759545390429</v>
      </c>
      <c r="BA191">
        <v>1.1032762920285535</v>
      </c>
      <c r="BB191">
        <v>2.0636983344061548</v>
      </c>
      <c r="BC191">
        <v>5.7107285940752206</v>
      </c>
      <c r="BD191">
        <v>6.7457871247569017</v>
      </c>
      <c r="BE191">
        <v>1.202584940227382</v>
      </c>
      <c r="BF191">
        <v>1.0572343514957652</v>
      </c>
      <c r="BG191">
        <v>2.4324410850177856</v>
      </c>
      <c r="BH191">
        <v>2.6905209007433086</v>
      </c>
      <c r="BI191">
        <v>3.0808826903773365</v>
      </c>
      <c r="BJ191">
        <v>3.6156582610597354</v>
      </c>
      <c r="BK191">
        <v>2.2774153176213332</v>
      </c>
      <c r="BL191">
        <v>1.8722162677549505</v>
      </c>
      <c r="BM191">
        <v>3.7191711966950436</v>
      </c>
      <c r="BN191">
        <v>10.063514788767009</v>
      </c>
      <c r="BO191">
        <v>4.5133941373038766</v>
      </c>
      <c r="BP191">
        <v>6.335395643881796</v>
      </c>
      <c r="BQ191">
        <v>5.1565936094483504</v>
      </c>
    </row>
    <row r="192" spans="1:69" hidden="1" x14ac:dyDescent="0.2">
      <c r="A192" t="s">
        <v>445</v>
      </c>
      <c r="B192" t="s">
        <v>446</v>
      </c>
      <c r="C192" t="s">
        <v>71</v>
      </c>
      <c r="D192" t="s">
        <v>72</v>
      </c>
      <c r="F192">
        <v>3.1157092376586917</v>
      </c>
      <c r="G192">
        <v>6.7276838163662092</v>
      </c>
      <c r="H192">
        <v>8.909672462104453</v>
      </c>
      <c r="I192">
        <v>4.5814527740072606</v>
      </c>
      <c r="J192">
        <v>3.8898317014063366</v>
      </c>
      <c r="K192">
        <v>5.3674745043695395</v>
      </c>
      <c r="L192">
        <v>2.1203856495519062</v>
      </c>
      <c r="M192">
        <v>6.3924043855360111</v>
      </c>
      <c r="N192">
        <v>5.9111057762591059</v>
      </c>
      <c r="O192">
        <v>15.302183282878133</v>
      </c>
      <c r="P192">
        <v>14.518766729624957</v>
      </c>
      <c r="Q192">
        <v>6.5768319923966203</v>
      </c>
      <c r="R192">
        <v>17.107839423524894</v>
      </c>
      <c r="S192">
        <v>32.890284156723283</v>
      </c>
      <c r="T192">
        <v>9.4796039413090227</v>
      </c>
      <c r="U192">
        <v>8.3828496932361958</v>
      </c>
      <c r="V192">
        <v>8.3668046554707871</v>
      </c>
      <c r="W192">
        <v>9.3561531300776721</v>
      </c>
      <c r="X192">
        <v>14.940967594611877</v>
      </c>
      <c r="Y192">
        <v>14.234592513241282</v>
      </c>
      <c r="Z192">
        <v>11.764746993747949</v>
      </c>
      <c r="AA192">
        <v>8.6435080745094268</v>
      </c>
      <c r="AB192">
        <v>14.248217775795055</v>
      </c>
      <c r="AC192">
        <v>52.959450719558305</v>
      </c>
      <c r="AD192">
        <v>17.061014740917528</v>
      </c>
      <c r="AE192">
        <v>2.8919363881342264</v>
      </c>
      <c r="AF192">
        <v>7.4971258535141487</v>
      </c>
      <c r="AG192">
        <v>9.7599591186082932</v>
      </c>
      <c r="AH192">
        <v>9.0999414502652911</v>
      </c>
      <c r="AI192">
        <v>12.956838354490955</v>
      </c>
      <c r="AJ192">
        <v>16.395119643651483</v>
      </c>
      <c r="AK192">
        <v>7.8818638109708274</v>
      </c>
      <c r="AL192">
        <v>6.8096219865676773</v>
      </c>
      <c r="AM192">
        <v>10.060230510794696</v>
      </c>
      <c r="AN192">
        <v>7.6423038549755802</v>
      </c>
      <c r="AO192">
        <v>7.6889654784622792</v>
      </c>
      <c r="AP192">
        <v>6.2598157557939942</v>
      </c>
      <c r="AQ192">
        <v>10.405670361417279</v>
      </c>
      <c r="AR192">
        <v>6.3346397302426425</v>
      </c>
      <c r="AS192">
        <v>5.8169335442489682</v>
      </c>
      <c r="AT192">
        <v>5.6188622808581101</v>
      </c>
      <c r="AU192">
        <v>4.2310918137205817</v>
      </c>
      <c r="AV192">
        <v>3.1921313294937192</v>
      </c>
      <c r="AW192">
        <v>5.8907585340695334</v>
      </c>
      <c r="AX192">
        <v>5.9108934478540931</v>
      </c>
      <c r="AY192">
        <v>5.1115866629503728</v>
      </c>
      <c r="AZ192">
        <v>3.1642897549487543</v>
      </c>
      <c r="BA192">
        <v>7.1792161831583599</v>
      </c>
      <c r="BB192">
        <v>2.7382585664238235</v>
      </c>
      <c r="BC192">
        <v>4.3708843644488837</v>
      </c>
      <c r="BD192">
        <v>3.91880577530506</v>
      </c>
      <c r="BE192">
        <v>1.9941760968025193</v>
      </c>
      <c r="BF192">
        <v>2.0610633590686973</v>
      </c>
      <c r="BG192">
        <v>3.0530553008590573</v>
      </c>
      <c r="BH192">
        <v>-0.71968278973592703</v>
      </c>
      <c r="BI192">
        <v>1.2803117437396168</v>
      </c>
      <c r="BJ192">
        <v>2.3202599460893936</v>
      </c>
      <c r="BK192">
        <v>3.7406538302207082</v>
      </c>
      <c r="BL192">
        <v>0.69707629741948551</v>
      </c>
      <c r="BM192">
        <v>1.6504901868136699</v>
      </c>
      <c r="BN192">
        <v>2.2824784625814232</v>
      </c>
      <c r="BO192">
        <v>5.4886482020200873</v>
      </c>
      <c r="BP192">
        <v>4.6014330707824058</v>
      </c>
      <c r="BQ192">
        <v>2.9141920557703713</v>
      </c>
    </row>
    <row r="193" spans="1:69" hidden="1" x14ac:dyDescent="0.2">
      <c r="A193" t="s">
        <v>447</v>
      </c>
      <c r="B193" t="s">
        <v>448</v>
      </c>
      <c r="C193" t="s">
        <v>71</v>
      </c>
      <c r="D193" t="s">
        <v>72</v>
      </c>
      <c r="P193">
        <v>9.7534847578588426</v>
      </c>
      <c r="Q193">
        <v>9.4604572971270784</v>
      </c>
      <c r="R193">
        <v>9.63354547123771</v>
      </c>
      <c r="S193">
        <v>9.7777088357241126</v>
      </c>
      <c r="T193">
        <v>9.8979071360115256</v>
      </c>
      <c r="U193">
        <v>9.9981450827835801</v>
      </c>
      <c r="V193">
        <v>7.9999969005939136</v>
      </c>
      <c r="W193">
        <v>10.500004246271416</v>
      </c>
      <c r="X193">
        <v>10.499997720870937</v>
      </c>
      <c r="Y193">
        <v>10.500001167414382</v>
      </c>
      <c r="Z193">
        <v>10.499999092742215</v>
      </c>
      <c r="AA193">
        <v>10.499999537936716</v>
      </c>
      <c r="AB193">
        <v>7.9999996899261561</v>
      </c>
      <c r="AC193">
        <v>7.9999988085905187</v>
      </c>
      <c r="AD193">
        <v>8.00000187369983</v>
      </c>
      <c r="AE193">
        <v>7.9999989513383554</v>
      </c>
      <c r="AF193">
        <v>8.0000006333296341</v>
      </c>
      <c r="AG193">
        <v>8.0000000146083181</v>
      </c>
      <c r="AH193">
        <v>7.9999999500442556</v>
      </c>
      <c r="AI193">
        <v>8.0000001268363548</v>
      </c>
      <c r="AJ193">
        <v>3.9616433829729942</v>
      </c>
      <c r="AK193">
        <v>5.0489247791886953</v>
      </c>
      <c r="AL193">
        <v>4.9750680071965121</v>
      </c>
      <c r="AM193">
        <v>2.5522521089454528</v>
      </c>
      <c r="AN193">
        <v>2.8128311395845742</v>
      </c>
      <c r="AO193">
        <v>2.9116715554385166</v>
      </c>
      <c r="AP193">
        <v>2.2777658479659237</v>
      </c>
      <c r="AQ193">
        <v>1.5957728978133616</v>
      </c>
      <c r="AR193">
        <v>2.2528731274630758</v>
      </c>
      <c r="AS193">
        <v>6.4679240799658118</v>
      </c>
      <c r="AT193">
        <v>0.12383953545318604</v>
      </c>
      <c r="AU193">
        <v>-2.8583866776404108</v>
      </c>
      <c r="AV193">
        <v>-1.8183189483005293</v>
      </c>
      <c r="AW193">
        <v>3.5752369897471539</v>
      </c>
      <c r="AX193">
        <v>11.028076399732981</v>
      </c>
      <c r="AY193">
        <v>1.502874214476364</v>
      </c>
      <c r="AZ193">
        <v>1.9417283066360653</v>
      </c>
      <c r="BA193">
        <v>5.9522487994670144</v>
      </c>
      <c r="BB193">
        <v>1.8420770934103814</v>
      </c>
      <c r="BC193">
        <v>-6.4534510879795448E-2</v>
      </c>
      <c r="BD193">
        <v>0.54008181730395677</v>
      </c>
      <c r="BE193">
        <v>7.1490451334436074</v>
      </c>
      <c r="BF193">
        <v>7.7119787752046847</v>
      </c>
      <c r="BG193">
        <v>2.9910928659827647</v>
      </c>
      <c r="BH193">
        <v>5.9786385403267843</v>
      </c>
      <c r="BI193">
        <v>7.4660116914354404</v>
      </c>
      <c r="BJ193">
        <v>-1.0388491316437154</v>
      </c>
      <c r="BK193">
        <v>0.92059657448166377</v>
      </c>
      <c r="BL193">
        <v>-2.4840034337643431</v>
      </c>
      <c r="BM193">
        <v>-2.2774686474985515</v>
      </c>
      <c r="BN193">
        <v>5.5928895565877212</v>
      </c>
      <c r="BO193">
        <v>9.8632950873539897</v>
      </c>
      <c r="BP193">
        <v>8.241709162690654</v>
      </c>
    </row>
    <row r="194" spans="1:69" hidden="1" x14ac:dyDescent="0.2">
      <c r="A194" t="s">
        <v>449</v>
      </c>
      <c r="B194" t="s">
        <v>450</v>
      </c>
      <c r="C194" t="s">
        <v>71</v>
      </c>
      <c r="D194" t="s">
        <v>72</v>
      </c>
      <c r="F194">
        <v>3.6276682239773095E-2</v>
      </c>
      <c r="G194">
        <v>0.28650413751343251</v>
      </c>
      <c r="H194">
        <v>1.5257202941324977</v>
      </c>
      <c r="I194">
        <v>1.9000000025998247</v>
      </c>
      <c r="J194">
        <v>2.2316014231573433</v>
      </c>
      <c r="K194">
        <v>7.3606543737870851</v>
      </c>
      <c r="L194">
        <v>8.5574634932689975</v>
      </c>
      <c r="M194">
        <v>5.2492880015310561</v>
      </c>
      <c r="N194">
        <v>4.9375396440221238</v>
      </c>
      <c r="O194">
        <v>5.651362943763516</v>
      </c>
      <c r="P194">
        <v>3.4135295287458121</v>
      </c>
      <c r="Q194">
        <v>7.1325664289607573</v>
      </c>
      <c r="R194">
        <v>19.737506086403499</v>
      </c>
      <c r="S194">
        <v>8.9200268975324377</v>
      </c>
      <c r="T194">
        <v>2.2693125052702783</v>
      </c>
      <c r="U194">
        <v>19.718063396656532</v>
      </c>
      <c r="V194">
        <v>7.4378251570394411</v>
      </c>
      <c r="W194">
        <v>-2.0304731402475085</v>
      </c>
      <c r="X194">
        <v>16.099842045489552</v>
      </c>
      <c r="Y194">
        <v>7.0913150720021747</v>
      </c>
      <c r="Z194">
        <v>-1.3036023608364218</v>
      </c>
      <c r="AA194">
        <v>3.6788015461657579</v>
      </c>
      <c r="AB194">
        <v>18.659960358785384</v>
      </c>
      <c r="AC194">
        <v>7.4382929081898936</v>
      </c>
      <c r="AD194">
        <v>1.620138341237265</v>
      </c>
      <c r="AE194">
        <v>1.3568690876366389</v>
      </c>
      <c r="AF194">
        <v>7.9715999600602032</v>
      </c>
      <c r="AG194">
        <v>7.9242369848491876</v>
      </c>
      <c r="AH194">
        <v>-2.540653147468376</v>
      </c>
      <c r="AI194">
        <v>4.1382315864978665</v>
      </c>
      <c r="AJ194">
        <v>6.9948548910577983</v>
      </c>
      <c r="AK194">
        <v>2.8759812868511858</v>
      </c>
      <c r="AL194">
        <v>-2.4958024652145951</v>
      </c>
      <c r="AM194">
        <v>7.2530884824223421</v>
      </c>
      <c r="AN194">
        <v>15.851330793603438</v>
      </c>
      <c r="AO194">
        <v>1.8118781249523863</v>
      </c>
      <c r="AP194">
        <v>8.4263615819780711</v>
      </c>
      <c r="AQ194">
        <v>14.543854014562086</v>
      </c>
      <c r="AR194">
        <v>11.06889420822219</v>
      </c>
      <c r="AS194">
        <v>13.102418040597755</v>
      </c>
      <c r="AT194">
        <v>6.9139140059622122</v>
      </c>
      <c r="AU194">
        <v>12.290431479329627</v>
      </c>
      <c r="AV194">
        <v>5.5393374465150202</v>
      </c>
      <c r="AW194">
        <v>-1.9923719016308894</v>
      </c>
      <c r="AX194">
        <v>12.18237925820371</v>
      </c>
      <c r="AY194">
        <v>60.51428595222859</v>
      </c>
      <c r="AZ194">
        <v>2.7952518857007362</v>
      </c>
      <c r="BA194">
        <v>11.66544132227223</v>
      </c>
      <c r="BB194">
        <v>-4.8793099684998404</v>
      </c>
      <c r="BC194">
        <v>9.9171611234198025</v>
      </c>
      <c r="BD194">
        <v>8.8331682242247069</v>
      </c>
      <c r="BE194">
        <v>-0.57471948718375643</v>
      </c>
      <c r="BF194">
        <v>3.5869353889672624</v>
      </c>
      <c r="BG194">
        <v>5.4373926541278195</v>
      </c>
      <c r="BH194">
        <v>-1.2311184168159599</v>
      </c>
      <c r="BI194">
        <v>2.5178459360124066</v>
      </c>
      <c r="BJ194">
        <v>7.6995350384606098</v>
      </c>
      <c r="BK194">
        <v>9.7976056606954529</v>
      </c>
      <c r="BL194">
        <v>1.0622614217644184</v>
      </c>
      <c r="BM194">
        <v>1.63449669302058</v>
      </c>
      <c r="BN194">
        <v>11.595270301232659</v>
      </c>
      <c r="BO194">
        <v>15.028820834968698</v>
      </c>
      <c r="BP194">
        <v>-4.3417792130993007</v>
      </c>
      <c r="BQ194">
        <v>7.9454203511423884</v>
      </c>
    </row>
    <row r="195" spans="1:69" hidden="1" x14ac:dyDescent="0.2">
      <c r="A195" t="s">
        <v>451</v>
      </c>
      <c r="B195" t="s">
        <v>452</v>
      </c>
      <c r="C195" t="s">
        <v>71</v>
      </c>
      <c r="D195" t="s">
        <v>72</v>
      </c>
      <c r="AJ195">
        <v>55.255994797475893</v>
      </c>
      <c r="AK195">
        <v>38.625466947497216</v>
      </c>
      <c r="AL195">
        <v>30.642796396941435</v>
      </c>
      <c r="AM195">
        <v>37.234034809390977</v>
      </c>
      <c r="AN195">
        <v>27.443617038126604</v>
      </c>
      <c r="AO195">
        <v>17.981207655666381</v>
      </c>
      <c r="AP195">
        <v>13.70539661068895</v>
      </c>
      <c r="AQ195">
        <v>11.047610741544972</v>
      </c>
      <c r="AR195">
        <v>6.1775715898945123</v>
      </c>
      <c r="AS195">
        <v>6.0577121953075732</v>
      </c>
      <c r="AT195">
        <v>3.2015977995908855</v>
      </c>
      <c r="AU195">
        <v>1.8150696119123779</v>
      </c>
      <c r="AV195">
        <v>0.77465756090870741</v>
      </c>
      <c r="AW195">
        <v>4.933116404961396</v>
      </c>
      <c r="AX195">
        <v>2.6230946080835622</v>
      </c>
      <c r="AY195">
        <v>1.7515345135689557</v>
      </c>
      <c r="AZ195">
        <v>3.7951414984224812</v>
      </c>
      <c r="BA195">
        <v>3.9342962649657949</v>
      </c>
      <c r="BB195">
        <v>3.8876483854856332</v>
      </c>
      <c r="BC195">
        <v>1.5792173317416882</v>
      </c>
      <c r="BD195">
        <v>3.0657145464975741</v>
      </c>
      <c r="BE195">
        <v>2.1834335739452371</v>
      </c>
      <c r="BF195">
        <v>0.27097578994485616</v>
      </c>
      <c r="BG195">
        <v>0.48227238752302526</v>
      </c>
      <c r="BH195">
        <v>1.3207109172399498</v>
      </c>
      <c r="BI195">
        <v>8.2862448389306564E-2</v>
      </c>
      <c r="BJ195">
        <v>1.7702028494543214</v>
      </c>
      <c r="BK195">
        <v>1.2269982517413354</v>
      </c>
      <c r="BL195">
        <v>3.0264469086765331</v>
      </c>
      <c r="BM195">
        <v>4.2385943485677728</v>
      </c>
      <c r="BN195">
        <v>5.3402360280074817</v>
      </c>
      <c r="BO195">
        <v>10.689577427514024</v>
      </c>
      <c r="BP195">
        <v>9.8656927023499748</v>
      </c>
      <c r="BQ195">
        <v>3.5871446989408753</v>
      </c>
    </row>
    <row r="196" spans="1:69" hidden="1" x14ac:dyDescent="0.2">
      <c r="A196" t="s">
        <v>453</v>
      </c>
      <c r="B196" t="s">
        <v>454</v>
      </c>
      <c r="C196" t="s">
        <v>71</v>
      </c>
      <c r="D196" t="s">
        <v>72</v>
      </c>
      <c r="F196">
        <v>4.0144345555156136</v>
      </c>
      <c r="G196">
        <v>2.0915622928210524</v>
      </c>
      <c r="H196">
        <v>3.174916399188362</v>
      </c>
      <c r="I196">
        <v>3.0262739143273762</v>
      </c>
      <c r="J196">
        <v>2.0576204636815874</v>
      </c>
      <c r="K196">
        <v>3.2058649789575639</v>
      </c>
      <c r="L196">
        <v>0.9507382701398015</v>
      </c>
      <c r="M196">
        <v>1.6788408490153301</v>
      </c>
      <c r="N196">
        <v>3.8643468368338034</v>
      </c>
      <c r="O196">
        <v>4.3529690492255355</v>
      </c>
      <c r="P196">
        <v>3.3774753255691365</v>
      </c>
      <c r="Q196">
        <v>4.9743954602363516</v>
      </c>
      <c r="R196">
        <v>8.7541148180974062</v>
      </c>
      <c r="S196">
        <v>14.920709907590421</v>
      </c>
      <c r="T196">
        <v>8.8688105139377313</v>
      </c>
      <c r="U196">
        <v>11.693191005241516</v>
      </c>
      <c r="V196">
        <v>11.030222198371845</v>
      </c>
      <c r="W196">
        <v>8.562151174611472</v>
      </c>
      <c r="X196">
        <v>11.326522789661425</v>
      </c>
      <c r="Y196">
        <v>12.419662241744888</v>
      </c>
      <c r="Z196">
        <v>10.853077267915708</v>
      </c>
      <c r="AA196">
        <v>11.592553751291319</v>
      </c>
      <c r="AB196">
        <v>12.300554709240338</v>
      </c>
      <c r="AC196">
        <v>12.441724728227598</v>
      </c>
      <c r="AD196">
        <v>9.5878778969306424</v>
      </c>
      <c r="AE196">
        <v>5.5654414336945948</v>
      </c>
      <c r="AF196">
        <v>9.8587353546453471</v>
      </c>
      <c r="AG196">
        <v>7.7067880725944988</v>
      </c>
      <c r="AH196">
        <v>9.3928988725358806</v>
      </c>
      <c r="AI196">
        <v>10.494862790372117</v>
      </c>
      <c r="AJ196">
        <v>8.5401828966237474</v>
      </c>
      <c r="AK196">
        <v>9.5091838100677037</v>
      </c>
      <c r="AL196">
        <v>7.7426456757990536</v>
      </c>
      <c r="AM196">
        <v>26.171881312138524</v>
      </c>
      <c r="AN196">
        <v>11.084210356764387</v>
      </c>
      <c r="AO196">
        <v>9.0748348887851336</v>
      </c>
      <c r="AP196">
        <v>4.9645176820283865</v>
      </c>
      <c r="AQ196">
        <v>6.2099695419688032</v>
      </c>
      <c r="AR196">
        <v>7.1891429470469603</v>
      </c>
      <c r="AS196">
        <v>8.5066010783455965</v>
      </c>
      <c r="AT196">
        <v>5.4195699456185835</v>
      </c>
      <c r="AU196">
        <v>4.3763966345048431</v>
      </c>
      <c r="AV196">
        <v>6.2383933082609104</v>
      </c>
      <c r="AW196">
        <v>11.104486290301772</v>
      </c>
      <c r="AX196">
        <v>8.1042869001147793</v>
      </c>
      <c r="AY196">
        <v>7.3305479162908256</v>
      </c>
      <c r="AZ196">
        <v>7.0681960340061565</v>
      </c>
      <c r="BA196">
        <v>9.644458079056939</v>
      </c>
      <c r="BB196">
        <v>1.8621318930236868</v>
      </c>
      <c r="BC196">
        <v>6.5120036890566837</v>
      </c>
      <c r="BD196">
        <v>9.7784580967588397</v>
      </c>
      <c r="BE196">
        <v>5.9399922119393551</v>
      </c>
      <c r="BF196">
        <v>3.0534591692503739</v>
      </c>
      <c r="BG196">
        <v>1.0858708962557984</v>
      </c>
      <c r="BH196">
        <v>2.8636651229894312</v>
      </c>
      <c r="BI196">
        <v>2.9801140844553373</v>
      </c>
      <c r="BJ196">
        <v>4.6490508196250175</v>
      </c>
      <c r="BK196">
        <v>3.8689922436167876</v>
      </c>
      <c r="BL196">
        <v>2.3306549555590692</v>
      </c>
      <c r="BM196">
        <v>2.7214844414999106</v>
      </c>
      <c r="BN196">
        <v>6.2695979602480918</v>
      </c>
      <c r="BO196">
        <v>7.9141661588314776</v>
      </c>
      <c r="BP196">
        <v>4.8121348688660959</v>
      </c>
      <c r="BQ196">
        <v>5.0656794141861212</v>
      </c>
    </row>
    <row r="197" spans="1:69" hidden="1" x14ac:dyDescent="0.2">
      <c r="A197" t="s">
        <v>455</v>
      </c>
      <c r="B197" t="s">
        <v>456</v>
      </c>
      <c r="C197" t="s">
        <v>71</v>
      </c>
      <c r="D197" t="s">
        <v>72</v>
      </c>
      <c r="F197">
        <v>2.9850721959522133</v>
      </c>
      <c r="G197">
        <v>3.6658170178683065</v>
      </c>
      <c r="H197">
        <v>2.5493403669404131</v>
      </c>
      <c r="I197">
        <v>2.88692934845038</v>
      </c>
      <c r="J197">
        <v>2.6500390736082835</v>
      </c>
      <c r="K197">
        <v>2.3538327201047906</v>
      </c>
      <c r="L197">
        <v>4.8961442584189712</v>
      </c>
      <c r="M197">
        <v>6.0820364028205915</v>
      </c>
      <c r="N197">
        <v>3.4666656256679715</v>
      </c>
      <c r="O197">
        <v>4.1237116599689045</v>
      </c>
      <c r="P197">
        <v>5.4455441847912027</v>
      </c>
      <c r="Q197">
        <v>4.5774649492680339</v>
      </c>
      <c r="R197">
        <v>4.0404043896728581</v>
      </c>
      <c r="S197">
        <v>6.634303959122974</v>
      </c>
      <c r="T197">
        <v>7.3849283709235465</v>
      </c>
      <c r="U197">
        <v>2.9674989799576679</v>
      </c>
      <c r="V197">
        <v>4.3000896500174406</v>
      </c>
      <c r="W197">
        <v>5.3508786136957838</v>
      </c>
      <c r="X197">
        <v>5.8284765670810259</v>
      </c>
      <c r="Y197">
        <v>8.6152627356434976</v>
      </c>
      <c r="Z197">
        <v>9.2720037697931588</v>
      </c>
      <c r="AA197">
        <v>6.7285372110186046</v>
      </c>
      <c r="AB197">
        <v>5.5279511299340101</v>
      </c>
      <c r="AC197">
        <v>4.7086520277474904</v>
      </c>
      <c r="AD197">
        <v>2.6981443301948644</v>
      </c>
      <c r="AE197">
        <v>3.3345682642740542</v>
      </c>
      <c r="AF197">
        <v>3.2079694238615275</v>
      </c>
      <c r="AG197">
        <v>3.7156120291340926</v>
      </c>
      <c r="AH197">
        <v>2.2942137107913254</v>
      </c>
      <c r="AI197">
        <v>11.851238620666038</v>
      </c>
      <c r="AJ197">
        <v>3.123297481352111</v>
      </c>
      <c r="AK197">
        <v>2.5763803337845559</v>
      </c>
      <c r="AL197">
        <v>1.8863907507965791</v>
      </c>
      <c r="AM197">
        <v>3.1782645721690272</v>
      </c>
      <c r="AN197">
        <v>2.7741825155898994</v>
      </c>
      <c r="AO197">
        <v>3.9115527552243492</v>
      </c>
      <c r="AP197">
        <v>1.3322502313938287</v>
      </c>
      <c r="AQ197">
        <v>6.3601425515710019</v>
      </c>
      <c r="AR197">
        <v>1.4727777890991121</v>
      </c>
      <c r="AS197">
        <v>3.2950719167812395</v>
      </c>
      <c r="AT197">
        <v>5.5049110024062031</v>
      </c>
      <c r="AU197">
        <v>2.5497782019922965</v>
      </c>
      <c r="AV197">
        <v>4.4174728869694491</v>
      </c>
      <c r="AW197">
        <v>-1.2921780264588847</v>
      </c>
      <c r="AX197">
        <v>6.5901225164404877</v>
      </c>
      <c r="AY197">
        <v>5.4928638769885936</v>
      </c>
      <c r="AZ197">
        <v>3.7824839402486674</v>
      </c>
      <c r="BA197">
        <v>6.5618578056318313</v>
      </c>
      <c r="BB197">
        <v>4.982555630418716</v>
      </c>
      <c r="BC197">
        <v>2.4940985920176075</v>
      </c>
      <c r="BD197">
        <v>2.3698263579560148</v>
      </c>
      <c r="BE197">
        <v>1.1792281090029348</v>
      </c>
      <c r="BF197">
        <v>1.1820152057391908</v>
      </c>
      <c r="BG197">
        <v>1.2005548794722642</v>
      </c>
      <c r="BH197">
        <v>1.9775444701880502</v>
      </c>
      <c r="BI197">
        <v>2.2215824843340641</v>
      </c>
      <c r="BJ197">
        <v>2.0914278220831761</v>
      </c>
      <c r="BK197">
        <v>2.0460900371659534</v>
      </c>
      <c r="BL197">
        <v>2.4128522569617559</v>
      </c>
      <c r="BM197">
        <v>2.382283456423778</v>
      </c>
      <c r="BN197">
        <v>2.7996399047523539</v>
      </c>
      <c r="BO197">
        <v>3.8968860397728093</v>
      </c>
      <c r="BP197">
        <v>3.4649216664548419</v>
      </c>
      <c r="BQ197">
        <v>2.9844911984643545</v>
      </c>
    </row>
    <row r="198" spans="1:69" hidden="1" x14ac:dyDescent="0.2">
      <c r="A198" t="s">
        <v>457</v>
      </c>
      <c r="B198" t="s">
        <v>458</v>
      </c>
      <c r="C198" t="s">
        <v>71</v>
      </c>
      <c r="D198" t="s">
        <v>72</v>
      </c>
    </row>
    <row r="199" spans="1:69" hidden="1" x14ac:dyDescent="0.2">
      <c r="A199" t="s">
        <v>459</v>
      </c>
      <c r="B199" t="s">
        <v>460</v>
      </c>
      <c r="C199" t="s">
        <v>71</v>
      </c>
      <c r="D199" t="s">
        <v>72</v>
      </c>
      <c r="F199">
        <v>1.4117658242882385</v>
      </c>
      <c r="G199">
        <v>0.67669590307475858</v>
      </c>
      <c r="H199">
        <v>0.56780249290831364</v>
      </c>
      <c r="I199">
        <v>2.0083900476430614</v>
      </c>
      <c r="J199">
        <v>3.8721594612100603</v>
      </c>
      <c r="K199">
        <v>5.2632411783331605</v>
      </c>
      <c r="L199">
        <v>3.9366597755995656</v>
      </c>
      <c r="M199">
        <v>1.6728090463100926</v>
      </c>
      <c r="N199">
        <v>7.3971990755091355</v>
      </c>
      <c r="O199">
        <v>1.9650558022313191</v>
      </c>
      <c r="P199">
        <v>5.0166929246010028</v>
      </c>
      <c r="Q199">
        <v>7.8046058588452638</v>
      </c>
      <c r="R199">
        <v>9.4662768599407059</v>
      </c>
      <c r="S199">
        <v>18.865248969397626</v>
      </c>
      <c r="T199">
        <v>16.230380875044204</v>
      </c>
      <c r="U199">
        <v>16.274129903763736</v>
      </c>
      <c r="V199">
        <v>26.400051807700152</v>
      </c>
      <c r="W199">
        <v>22.348271423496385</v>
      </c>
      <c r="X199">
        <v>19.43741663836856</v>
      </c>
      <c r="Y199">
        <v>20.903033556031531</v>
      </c>
      <c r="Z199">
        <v>17.608922157008067</v>
      </c>
      <c r="AA199">
        <v>20.690327827241276</v>
      </c>
      <c r="AB199">
        <v>24.605260855879024</v>
      </c>
      <c r="AC199">
        <v>24.675720808915742</v>
      </c>
      <c r="AD199">
        <v>21.734561589089864</v>
      </c>
      <c r="AE199">
        <v>20.451129457903789</v>
      </c>
      <c r="AF199">
        <v>10.096785003276381</v>
      </c>
      <c r="AG199">
        <v>11.165389304022128</v>
      </c>
      <c r="AH199">
        <v>10.513805306692461</v>
      </c>
      <c r="AI199">
        <v>13.144651789742554</v>
      </c>
      <c r="AJ199">
        <v>10.086184846585496</v>
      </c>
      <c r="AK199">
        <v>11.446032016003343</v>
      </c>
      <c r="AL199">
        <v>7.3764301578168556</v>
      </c>
      <c r="AM199">
        <v>7.277627255814906</v>
      </c>
      <c r="AN199">
        <v>3.4286175430738837</v>
      </c>
      <c r="AO199">
        <v>2.3909860659145181</v>
      </c>
      <c r="AP199">
        <v>3.8852077507324054</v>
      </c>
      <c r="AQ199">
        <v>3.8250331814521701</v>
      </c>
      <c r="AR199">
        <v>3.3705272447443093</v>
      </c>
      <c r="AS199">
        <v>3.4202696669669308</v>
      </c>
      <c r="AT199">
        <v>3.7159829933747233</v>
      </c>
      <c r="AU199">
        <v>4.1897809088295332</v>
      </c>
      <c r="AV199">
        <v>3.4271535706257055</v>
      </c>
      <c r="AW199">
        <v>2.399614828670309</v>
      </c>
      <c r="AX199">
        <v>3.3329038947891974</v>
      </c>
      <c r="AY199">
        <v>3.184541496613889</v>
      </c>
      <c r="AZ199">
        <v>2.9663457743623241</v>
      </c>
      <c r="BA199">
        <v>1.7377248785205808</v>
      </c>
      <c r="BB199">
        <v>1.0981346533515079</v>
      </c>
      <c r="BC199">
        <v>0.78213585305553579</v>
      </c>
      <c r="BD199">
        <v>-0.26043539649197101</v>
      </c>
      <c r="BE199">
        <v>-0.37640219754193538</v>
      </c>
      <c r="BF199">
        <v>2.2743866966104918</v>
      </c>
      <c r="BG199">
        <v>0.72445677099078409</v>
      </c>
      <c r="BH199">
        <v>1.9624469996233955</v>
      </c>
      <c r="BI199">
        <v>1.8540870417379551</v>
      </c>
      <c r="BJ199">
        <v>1.5322004245168728</v>
      </c>
      <c r="BK199">
        <v>1.8523724380118409</v>
      </c>
      <c r="BL199">
        <v>1.8343677836370347</v>
      </c>
      <c r="BM199">
        <v>2.1031433671968642</v>
      </c>
      <c r="BN199">
        <v>2.0197761413154751</v>
      </c>
      <c r="BO199">
        <v>5.3274990984173627</v>
      </c>
      <c r="BP199">
        <v>7.0271539680901043</v>
      </c>
      <c r="BQ199">
        <v>4.4305289509346721</v>
      </c>
    </row>
    <row r="200" spans="1:69" hidden="1" x14ac:dyDescent="0.2">
      <c r="A200" t="s">
        <v>461</v>
      </c>
      <c r="B200" t="s">
        <v>462</v>
      </c>
      <c r="C200" t="s">
        <v>71</v>
      </c>
      <c r="D200" t="s">
        <v>72</v>
      </c>
      <c r="F200">
        <v>6.6848217723915297</v>
      </c>
      <c r="G200">
        <v>8.4212754654604964</v>
      </c>
      <c r="H200">
        <v>1.6459080523091956</v>
      </c>
      <c r="I200">
        <v>2.0677395186223748</v>
      </c>
      <c r="J200">
        <v>2.3184273887274287</v>
      </c>
      <c r="K200">
        <v>2.9767673812415723</v>
      </c>
      <c r="L200">
        <v>-3.1158749859142034</v>
      </c>
      <c r="M200">
        <v>0.5189436429102301</v>
      </c>
      <c r="N200">
        <v>2.639791537519983</v>
      </c>
      <c r="O200">
        <v>1.2643511338680753</v>
      </c>
      <c r="P200">
        <v>5.9007804360942515</v>
      </c>
      <c r="Q200">
        <v>8.5231497936831317</v>
      </c>
      <c r="R200">
        <v>20.64109115078378</v>
      </c>
      <c r="S200">
        <v>23.587524800486605</v>
      </c>
      <c r="T200">
        <v>6.0756928292709205</v>
      </c>
      <c r="U200">
        <v>4.5405069060697514</v>
      </c>
      <c r="V200">
        <v>10.448438753346352</v>
      </c>
      <c r="W200">
        <v>9.2173628797379052</v>
      </c>
      <c r="X200">
        <v>19.321266360841818</v>
      </c>
      <c r="Y200">
        <v>16.534944617499022</v>
      </c>
      <c r="Z200">
        <v>15.826173402796087</v>
      </c>
      <c r="AA200">
        <v>5.4746173433496921</v>
      </c>
      <c r="AB200">
        <v>15.907820900511325</v>
      </c>
      <c r="AC200">
        <v>28.842085878400752</v>
      </c>
      <c r="AD200">
        <v>26.131330118477564</v>
      </c>
      <c r="AE200">
        <v>26.896747649867009</v>
      </c>
      <c r="AF200">
        <v>27.969068303703338</v>
      </c>
      <c r="AG200">
        <v>27.235521299087836</v>
      </c>
      <c r="AH200">
        <v>31.454919599938989</v>
      </c>
      <c r="AI200">
        <v>36.607531327035019</v>
      </c>
      <c r="AJ200">
        <v>25.119837018706662</v>
      </c>
      <c r="AK200">
        <v>14.082920634928641</v>
      </c>
      <c r="AL200">
        <v>12.220034958244625</v>
      </c>
      <c r="AM200">
        <v>12.573370441994285</v>
      </c>
      <c r="AN200">
        <v>11.076427188031019</v>
      </c>
      <c r="AO200">
        <v>11.421448236073275</v>
      </c>
      <c r="AP200">
        <v>3.410989240663568</v>
      </c>
      <c r="AQ200">
        <v>16.258576332888381</v>
      </c>
      <c r="AR200">
        <v>10.680127911595775</v>
      </c>
      <c r="AS200">
        <v>14.664505442720682</v>
      </c>
      <c r="AT200">
        <v>13.93560469269211</v>
      </c>
      <c r="AU200">
        <v>17.949384209927999</v>
      </c>
      <c r="AV200">
        <v>15.144324650950963</v>
      </c>
      <c r="AW200">
        <v>11.835005223800607</v>
      </c>
      <c r="AX200">
        <v>12.952824118026072</v>
      </c>
      <c r="AY200">
        <v>8.8558326538908005</v>
      </c>
      <c r="AZ200">
        <v>12.635505643091832</v>
      </c>
      <c r="BA200">
        <v>12.224755055193228</v>
      </c>
      <c r="BB200">
        <v>3.6479649188123204</v>
      </c>
      <c r="BC200">
        <v>4.6557013825034232</v>
      </c>
      <c r="BD200">
        <v>5.095710538757487</v>
      </c>
      <c r="BE200">
        <v>4.798275878651566</v>
      </c>
      <c r="BF200">
        <v>4.3376760951578888</v>
      </c>
      <c r="BG200">
        <v>2.8570064847103822</v>
      </c>
      <c r="BH200">
        <v>1.6038880103796345</v>
      </c>
      <c r="BI200">
        <v>4.1347544440302642</v>
      </c>
      <c r="BJ200">
        <v>2.1592092917461514</v>
      </c>
      <c r="BK200">
        <v>1.9602481984654929</v>
      </c>
      <c r="BL200">
        <v>3.061879454583277</v>
      </c>
      <c r="BM200">
        <v>2.2039214677861452</v>
      </c>
      <c r="BN200">
        <v>8.4481260266420861</v>
      </c>
      <c r="BO200">
        <v>8.0544605027444334</v>
      </c>
      <c r="BP200">
        <v>2.1749945013083334</v>
      </c>
      <c r="BQ200">
        <v>2.5868579429838405</v>
      </c>
    </row>
    <row r="201" spans="1:69" hidden="1" x14ac:dyDescent="0.2">
      <c r="A201" t="s">
        <v>463</v>
      </c>
      <c r="B201" t="s">
        <v>464</v>
      </c>
      <c r="C201" t="s">
        <v>71</v>
      </c>
      <c r="D201" t="s">
        <v>72</v>
      </c>
      <c r="AN201">
        <v>7.7853788069779881</v>
      </c>
      <c r="AO201">
        <v>2.616243559927554</v>
      </c>
      <c r="AP201">
        <v>-3.8342463299095328</v>
      </c>
      <c r="AQ201">
        <v>-5.3721346679188144</v>
      </c>
      <c r="AR201">
        <v>-3.0294862392806294</v>
      </c>
      <c r="AS201">
        <v>10.44160724206931</v>
      </c>
      <c r="AT201">
        <v>2.3451891560392539</v>
      </c>
      <c r="AU201">
        <v>1.4869229111724707</v>
      </c>
      <c r="AV201">
        <v>-2.1254272560601493</v>
      </c>
      <c r="AW201">
        <v>-4.8545964425106263</v>
      </c>
      <c r="AX201">
        <v>5.6219726997682073E-2</v>
      </c>
      <c r="AY201">
        <v>5.3931230688752549</v>
      </c>
      <c r="AZ201">
        <v>4.7702341294187534</v>
      </c>
      <c r="BA201">
        <v>17.008355406453774</v>
      </c>
      <c r="BB201">
        <v>1.8527334664847359</v>
      </c>
      <c r="BC201">
        <v>13.196316248176416</v>
      </c>
      <c r="BD201">
        <v>5.4198247373878417</v>
      </c>
      <c r="BE201">
        <v>2.8677340264323732</v>
      </c>
      <c r="BF201">
        <v>5.7383714378646005</v>
      </c>
      <c r="BG201">
        <v>3.6722281154495136</v>
      </c>
      <c r="BH201">
        <v>-3.7070130167194577</v>
      </c>
      <c r="BI201">
        <v>1.2780224837288756</v>
      </c>
      <c r="BJ201">
        <v>3.2254149922027295</v>
      </c>
      <c r="BK201">
        <v>-0.30199272515996256</v>
      </c>
      <c r="BL201">
        <v>3.8494693014724106</v>
      </c>
      <c r="BM201">
        <v>2.2209018333905846</v>
      </c>
      <c r="BN201">
        <v>8.953971740622606</v>
      </c>
      <c r="BO201">
        <v>1.6826565273999137</v>
      </c>
      <c r="BP201">
        <v>-2.4297433168284641</v>
      </c>
      <c r="BQ201">
        <v>4.6014919121472957</v>
      </c>
    </row>
    <row r="202" spans="1:69" hidden="1" x14ac:dyDescent="0.2">
      <c r="A202" t="s">
        <v>465</v>
      </c>
      <c r="B202" t="s">
        <v>466</v>
      </c>
      <c r="C202" t="s">
        <v>71</v>
      </c>
      <c r="D202" t="s">
        <v>72</v>
      </c>
      <c r="P202">
        <v>6.3669091468048009</v>
      </c>
      <c r="Q202">
        <v>7.9468229253697089</v>
      </c>
      <c r="R202">
        <v>8.8984056400243858</v>
      </c>
      <c r="S202">
        <v>14.152630926613099</v>
      </c>
      <c r="T202">
        <v>9.5398055665439614</v>
      </c>
      <c r="U202">
        <v>8.1404988797044737</v>
      </c>
      <c r="V202">
        <v>8.3432617821586916</v>
      </c>
      <c r="W202">
        <v>7.3091945752534713</v>
      </c>
      <c r="X202">
        <v>9.5848823140185573</v>
      </c>
      <c r="Y202">
        <v>12.668466426555455</v>
      </c>
      <c r="Z202">
        <v>8.9169654841035424</v>
      </c>
      <c r="AA202">
        <v>8.1130868418377844</v>
      </c>
      <c r="AB202">
        <v>7.9999996899261561</v>
      </c>
      <c r="AC202">
        <v>4.8154761971186133</v>
      </c>
      <c r="AD202">
        <v>6.5749234487238795</v>
      </c>
      <c r="AE202">
        <v>5.0979698080465283</v>
      </c>
      <c r="AF202">
        <v>7.3400103804891046</v>
      </c>
      <c r="AG202">
        <v>7.3280156214279941</v>
      </c>
      <c r="AH202">
        <v>4.8119503518687168</v>
      </c>
      <c r="AI202">
        <v>6.679469364806522</v>
      </c>
      <c r="AJ202">
        <v>6.1113737418962302</v>
      </c>
      <c r="AK202">
        <v>7.3440669291872496</v>
      </c>
      <c r="AL202">
        <v>3.0337240195667476</v>
      </c>
      <c r="AM202">
        <v>2.6150313118472184</v>
      </c>
      <c r="AN202">
        <v>1.7681350342869422</v>
      </c>
      <c r="AO202">
        <v>2.9747816307043422</v>
      </c>
      <c r="AP202">
        <v>3.1770227925516252</v>
      </c>
      <c r="AQ202">
        <v>3.4136407504570059</v>
      </c>
      <c r="AR202">
        <v>4.6072466577041098</v>
      </c>
      <c r="AS202">
        <v>2.1789705814129263</v>
      </c>
      <c r="AT202">
        <v>3.3668486479639341</v>
      </c>
      <c r="AU202">
        <v>3.4258959317075721</v>
      </c>
      <c r="AV202">
        <v>3.0862792754336823</v>
      </c>
      <c r="AW202">
        <v>3.5752369897471539</v>
      </c>
      <c r="AX202">
        <v>3.9951333907488333</v>
      </c>
      <c r="AY202">
        <v>3.746758818814854</v>
      </c>
      <c r="AZ202">
        <v>3.1744599354754257</v>
      </c>
      <c r="BA202">
        <v>5.9522487994670144</v>
      </c>
      <c r="BB202">
        <v>1.9984639579180765</v>
      </c>
      <c r="BC202">
        <v>1.4717088033394816</v>
      </c>
      <c r="BD202">
        <v>1.9986899290757094</v>
      </c>
      <c r="BE202">
        <v>4.2845978100641844</v>
      </c>
      <c r="BF202">
        <v>2.3462900987460529</v>
      </c>
      <c r="BG202">
        <v>2.9910928659827647</v>
      </c>
      <c r="BH202">
        <v>3.3577729595646559</v>
      </c>
      <c r="BI202">
        <v>2.6333266433458107</v>
      </c>
      <c r="BJ202">
        <v>2.5766856785920993</v>
      </c>
      <c r="BK202">
        <v>3.8621363257840642</v>
      </c>
      <c r="BL202">
        <v>1.2413030324181875</v>
      </c>
      <c r="BM202">
        <v>1.2236092399405152</v>
      </c>
      <c r="BN202">
        <v>4.0869309190799612</v>
      </c>
      <c r="BO202">
        <v>2.4479843436949977</v>
      </c>
      <c r="BP202">
        <v>6.5967870777013928</v>
      </c>
      <c r="BQ202">
        <v>4.3658253298279703</v>
      </c>
    </row>
    <row r="203" spans="1:69" hidden="1" x14ac:dyDescent="0.2">
      <c r="A203" t="s">
        <v>467</v>
      </c>
      <c r="B203" t="s">
        <v>468</v>
      </c>
      <c r="C203" t="s">
        <v>71</v>
      </c>
      <c r="D203" t="s">
        <v>72</v>
      </c>
      <c r="F203">
        <v>2.7821588820764447</v>
      </c>
      <c r="G203">
        <v>3.9259670791173704</v>
      </c>
      <c r="H203">
        <v>3.2775844406985328</v>
      </c>
      <c r="I203">
        <v>4.2848714004651853</v>
      </c>
      <c r="J203">
        <v>3.8531480713104287</v>
      </c>
      <c r="K203">
        <v>4.0315483254840458</v>
      </c>
      <c r="L203">
        <v>3.5922111718042302</v>
      </c>
      <c r="M203">
        <v>4.1308982051839394</v>
      </c>
      <c r="N203">
        <v>4.5121548804971212</v>
      </c>
      <c r="O203">
        <v>5.5191266239062458</v>
      </c>
      <c r="P203">
        <v>6.5977874369973364</v>
      </c>
      <c r="Q203">
        <v>6.9337551849319894</v>
      </c>
      <c r="R203">
        <v>8.835375922441834</v>
      </c>
      <c r="S203">
        <v>12.956018900983338</v>
      </c>
      <c r="T203">
        <v>11.94372886322666</v>
      </c>
      <c r="U203">
        <v>9.1373791485573932</v>
      </c>
      <c r="V203">
        <v>7.8238973116505406</v>
      </c>
      <c r="W203">
        <v>7.4541922916149872</v>
      </c>
      <c r="X203">
        <v>8.2967219827984309</v>
      </c>
      <c r="Y203">
        <v>11.127109004531448</v>
      </c>
      <c r="Z203">
        <v>9.493476867535513</v>
      </c>
      <c r="AA203">
        <v>8.4558418525525596</v>
      </c>
      <c r="AB203">
        <v>5.6128500429938839</v>
      </c>
      <c r="AC203">
        <v>5.1832431013404658</v>
      </c>
      <c r="AD203">
        <v>4.215527121464774</v>
      </c>
      <c r="AE203">
        <v>3.7422613886624276</v>
      </c>
      <c r="AF203">
        <v>4.7209491977953917</v>
      </c>
      <c r="AG203">
        <v>4.7042609669451636</v>
      </c>
      <c r="AH203">
        <v>5.3661565890409477</v>
      </c>
      <c r="AI203">
        <v>4.6505223607712907</v>
      </c>
      <c r="AJ203">
        <v>4.9521938562076642</v>
      </c>
      <c r="AK203">
        <v>3.6417448600156277</v>
      </c>
      <c r="AL203">
        <v>3.9395917164036902</v>
      </c>
      <c r="AM203">
        <v>3.5424246988789392</v>
      </c>
      <c r="AN203">
        <v>3.9222799903182235</v>
      </c>
      <c r="AO203">
        <v>2.4647016364245573</v>
      </c>
      <c r="AP203">
        <v>2.2752773884125901</v>
      </c>
      <c r="AQ203">
        <v>1.3380016064133642</v>
      </c>
      <c r="AR203">
        <v>1.4461996846427709</v>
      </c>
      <c r="AS203">
        <v>1.8870337926253171</v>
      </c>
      <c r="AT203">
        <v>2.5535579755243063</v>
      </c>
      <c r="AU203">
        <v>2.0916645963282861</v>
      </c>
      <c r="AV203">
        <v>2.0522049587925224</v>
      </c>
      <c r="AW203">
        <v>2.6594240142623349</v>
      </c>
      <c r="AX203">
        <v>2.577335772156907</v>
      </c>
      <c r="AY203">
        <v>2.6431231958410351</v>
      </c>
      <c r="AZ203">
        <v>3.2189740538170355</v>
      </c>
      <c r="BA203">
        <v>3.1995898475137636</v>
      </c>
      <c r="BB203">
        <v>1.424514433136693</v>
      </c>
      <c r="BC203">
        <v>1.1914845908833058</v>
      </c>
      <c r="BD203">
        <v>1.8736985533075341</v>
      </c>
      <c r="BE203">
        <v>1.4874097931292738</v>
      </c>
      <c r="BF203">
        <v>1.3420387207459328</v>
      </c>
      <c r="BG203">
        <v>1.3298427031424609</v>
      </c>
      <c r="BH203">
        <v>1.4148495687233051</v>
      </c>
      <c r="BI203">
        <v>0.96889745103562319</v>
      </c>
      <c r="BJ203">
        <v>1.9191402296109814</v>
      </c>
      <c r="BK203">
        <v>1.894830941078844</v>
      </c>
      <c r="BL203">
        <v>2.002178977810253</v>
      </c>
      <c r="BM203">
        <v>1.7743544525088168</v>
      </c>
      <c r="BN203">
        <v>2.7551376194640511</v>
      </c>
      <c r="BO203">
        <v>6.3566729914298321</v>
      </c>
      <c r="BP203">
        <v>5.9753751384424447</v>
      </c>
      <c r="BQ203">
        <v>3.0917700604038814</v>
      </c>
    </row>
    <row r="204" spans="1:69" hidden="1" x14ac:dyDescent="0.2">
      <c r="A204" t="s">
        <v>469</v>
      </c>
      <c r="B204" t="s">
        <v>470</v>
      </c>
      <c r="C204" t="s">
        <v>71</v>
      </c>
      <c r="D204" t="s">
        <v>72</v>
      </c>
      <c r="K204">
        <v>11.486159892692797</v>
      </c>
      <c r="L204">
        <v>7.5669057264292832</v>
      </c>
      <c r="M204">
        <v>2.2092243280898316</v>
      </c>
      <c r="N204">
        <v>1.1791584124937629</v>
      </c>
      <c r="O204">
        <v>10.022750153998189</v>
      </c>
      <c r="P204">
        <v>4.0313472993084929</v>
      </c>
      <c r="Q204">
        <v>5.0144632701839953</v>
      </c>
      <c r="R204">
        <v>8.3799710315824143</v>
      </c>
      <c r="S204">
        <v>17.852066118358678</v>
      </c>
      <c r="T204">
        <v>16.382745852466726</v>
      </c>
      <c r="U204">
        <v>9.3069335340385777</v>
      </c>
      <c r="V204">
        <v>9.0996122318769466</v>
      </c>
      <c r="W204">
        <v>5.9596696327384819</v>
      </c>
      <c r="X204">
        <v>9.6015793084860377</v>
      </c>
      <c r="Y204">
        <v>7.4157314257388549</v>
      </c>
      <c r="Z204">
        <v>17.1672183106717</v>
      </c>
      <c r="AA204">
        <v>19.021932908904546</v>
      </c>
      <c r="AB204">
        <v>17.648022955875689</v>
      </c>
      <c r="AC204">
        <v>15.628598188289388</v>
      </c>
      <c r="AD204">
        <v>13.669781865705971</v>
      </c>
      <c r="AE204">
        <v>3.685577387478034</v>
      </c>
      <c r="AF204">
        <v>3.7465180938179117</v>
      </c>
      <c r="AG204">
        <v>4.5525009755637171</v>
      </c>
      <c r="AH204">
        <v>5.157118563776848</v>
      </c>
      <c r="AI204">
        <v>3.5987126321170138</v>
      </c>
      <c r="AJ204">
        <v>2.6680391868655846</v>
      </c>
      <c r="AK204">
        <v>3.6943538228855033</v>
      </c>
      <c r="AL204">
        <v>3.4473698031263211</v>
      </c>
      <c r="AM204">
        <v>3.3970996071805786</v>
      </c>
      <c r="AN204">
        <v>2.7972225063353449</v>
      </c>
      <c r="AO204">
        <v>2.6592539109133497</v>
      </c>
      <c r="AP204">
        <v>3.1814334719644251</v>
      </c>
      <c r="AQ204">
        <v>3.0593771199778956</v>
      </c>
      <c r="AR204">
        <v>2.6686819748236132</v>
      </c>
      <c r="AS204">
        <v>2.8572091583599786</v>
      </c>
      <c r="AT204">
        <v>2.7294389079958421</v>
      </c>
      <c r="AU204">
        <v>4.2149143634874235</v>
      </c>
      <c r="AV204">
        <v>1.717268058846841</v>
      </c>
      <c r="AW204">
        <v>1.6914602096407236</v>
      </c>
      <c r="AX204">
        <v>2.2007719539728612</v>
      </c>
      <c r="AY204">
        <v>1.1869441576554607</v>
      </c>
      <c r="AZ204">
        <v>1.6240403153996823</v>
      </c>
      <c r="BA204">
        <v>0.2796725322198057</v>
      </c>
      <c r="BB204">
        <v>1.5868500626829984</v>
      </c>
      <c r="BC204">
        <v>-0.28710318409625302</v>
      </c>
      <c r="BD204">
        <v>3.9854038166168948E-2</v>
      </c>
      <c r="BE204">
        <v>0.34676693706792605</v>
      </c>
      <c r="BF204">
        <v>2.0904269681840617</v>
      </c>
      <c r="BG204">
        <v>1.3612377270773948</v>
      </c>
      <c r="BH204">
        <v>1.8216153646875028</v>
      </c>
      <c r="BI204">
        <v>1.1294779021871619</v>
      </c>
      <c r="BJ204">
        <v>-0.30125373773935848</v>
      </c>
      <c r="BK204">
        <v>-1.2412174190054088</v>
      </c>
      <c r="BL204">
        <v>0.82235511912975312</v>
      </c>
      <c r="BM204">
        <v>-2.1628225362942715</v>
      </c>
      <c r="BN204">
        <v>4.1123448810696459</v>
      </c>
      <c r="BO204">
        <v>1.7933137453429282</v>
      </c>
      <c r="BP204">
        <v>3.9550108527607932</v>
      </c>
    </row>
    <row r="205" spans="1:69" hidden="1" x14ac:dyDescent="0.2">
      <c r="A205" t="s">
        <v>471</v>
      </c>
      <c r="B205" t="s">
        <v>472</v>
      </c>
      <c r="C205" t="s">
        <v>71</v>
      </c>
      <c r="D205" t="s">
        <v>72</v>
      </c>
      <c r="P205">
        <v>16.438320568131175</v>
      </c>
      <c r="Q205">
        <v>9.4510700555372438</v>
      </c>
      <c r="R205">
        <v>27.960132387081899</v>
      </c>
      <c r="S205">
        <v>182.03829907409369</v>
      </c>
      <c r="T205">
        <v>-1.5901745114084207</v>
      </c>
      <c r="U205">
        <v>21.635763006107211</v>
      </c>
      <c r="V205">
        <v>18.69665647394207</v>
      </c>
      <c r="W205">
        <v>0.75547479676700391</v>
      </c>
      <c r="X205">
        <v>28.581002034052659</v>
      </c>
      <c r="Y205">
        <v>36.085621517214577</v>
      </c>
      <c r="Z205">
        <v>9.1316687182110741</v>
      </c>
      <c r="AA205">
        <v>-5.8164078198472851</v>
      </c>
      <c r="AB205">
        <v>-13.280527734000842</v>
      </c>
      <c r="AC205">
        <v>-0.95185645695941901</v>
      </c>
      <c r="AD205">
        <v>-6.2319278521286776</v>
      </c>
      <c r="AE205">
        <v>-22.040794757188962</v>
      </c>
      <c r="AF205">
        <v>7.737100930391307</v>
      </c>
      <c r="AG205">
        <v>4.6840540484264181</v>
      </c>
      <c r="AH205">
        <v>1.1539992626725848</v>
      </c>
      <c r="AI205">
        <v>9.7027486132816705</v>
      </c>
      <c r="AJ205">
        <v>-4.8987403210533813</v>
      </c>
      <c r="AK205">
        <v>-0.22576295138557612</v>
      </c>
      <c r="AL205">
        <v>-5.1457524897284657</v>
      </c>
      <c r="AM205">
        <v>1.6026993353471113</v>
      </c>
      <c r="AN205">
        <v>7.7671977430612458</v>
      </c>
      <c r="AO205">
        <v>6.6575575309008457</v>
      </c>
      <c r="AP205">
        <v>-4.0789743600632988</v>
      </c>
      <c r="AQ205">
        <v>-18.382171480875073</v>
      </c>
      <c r="AR205">
        <v>15.879468153178735</v>
      </c>
      <c r="AS205">
        <v>32.654614947217965</v>
      </c>
      <c r="AT205">
        <v>-4.9519409711783311</v>
      </c>
      <c r="AU205">
        <v>3.0090051745119695</v>
      </c>
      <c r="AV205">
        <v>17.176467738408661</v>
      </c>
      <c r="AW205">
        <v>13.106784845155858</v>
      </c>
      <c r="AX205">
        <v>30.542699813035739</v>
      </c>
      <c r="AY205">
        <v>8.3616135354892975</v>
      </c>
      <c r="AZ205">
        <v>10.969860595314216</v>
      </c>
      <c r="BA205">
        <v>22.899564688172362</v>
      </c>
      <c r="BB205">
        <v>-24.218100876606869</v>
      </c>
      <c r="BC205">
        <v>6.9793298939114976</v>
      </c>
      <c r="BD205">
        <v>18.270171342436669</v>
      </c>
      <c r="BE205">
        <v>6.3299622355519745</v>
      </c>
      <c r="BF205">
        <v>0.76748857193598496</v>
      </c>
      <c r="BG205">
        <v>-1.4827510630932039</v>
      </c>
      <c r="BH205">
        <v>-25.12980749599285</v>
      </c>
      <c r="BI205">
        <v>-8.9766990575184309</v>
      </c>
      <c r="BJ205">
        <v>7.7875696560481202</v>
      </c>
      <c r="BK205">
        <v>12.414403526000342</v>
      </c>
      <c r="BL205">
        <v>-4.4559142053045235</v>
      </c>
      <c r="BM205">
        <v>-15.100420315513617</v>
      </c>
      <c r="BN205">
        <v>22.466022129473657</v>
      </c>
      <c r="BO205">
        <v>25.876917369467861</v>
      </c>
      <c r="BP205">
        <v>-10.693481450612978</v>
      </c>
      <c r="BQ205">
        <v>-0.41875022937519191</v>
      </c>
    </row>
    <row r="206" spans="1:69" hidden="1" x14ac:dyDescent="0.2">
      <c r="A206" t="s">
        <v>473</v>
      </c>
      <c r="B206" t="s">
        <v>474</v>
      </c>
      <c r="C206" t="s">
        <v>71</v>
      </c>
      <c r="D206" t="s">
        <v>72</v>
      </c>
      <c r="AJ206">
        <v>195.00397859304263</v>
      </c>
      <c r="AK206">
        <v>199.85889560954917</v>
      </c>
      <c r="AL206">
        <v>227.30873577962114</v>
      </c>
      <c r="AM206">
        <v>139.02307058953232</v>
      </c>
      <c r="AN206">
        <v>43.933473200733602</v>
      </c>
      <c r="AO206">
        <v>44.00228391293075</v>
      </c>
      <c r="AP206">
        <v>135.33839947219391</v>
      </c>
      <c r="AQ206">
        <v>48.134519766048498</v>
      </c>
      <c r="AR206">
        <v>49.522463002686692</v>
      </c>
      <c r="AS206">
        <v>43.180854812381511</v>
      </c>
      <c r="AT206">
        <v>37.956252139334254</v>
      </c>
      <c r="AU206">
        <v>22.714269049669184</v>
      </c>
      <c r="AV206">
        <v>23.153255470897705</v>
      </c>
      <c r="AW206">
        <v>15.456595876933179</v>
      </c>
      <c r="AX206">
        <v>12.00699011763129</v>
      </c>
      <c r="AY206">
        <v>10.606579357101722</v>
      </c>
      <c r="AZ206">
        <v>15.816227472443686</v>
      </c>
      <c r="BA206">
        <v>16.01489217854602</v>
      </c>
      <c r="BB206">
        <v>4.0915777131024953</v>
      </c>
      <c r="BC206">
        <v>5.932111859899436</v>
      </c>
      <c r="BD206">
        <v>3.9825494579230281</v>
      </c>
      <c r="BE206">
        <v>3.8102394219232849</v>
      </c>
      <c r="BF206">
        <v>1.3945866153537168</v>
      </c>
      <c r="BG206">
        <v>1.7141709329273169</v>
      </c>
      <c r="BH206">
        <v>3.2645349433255859</v>
      </c>
      <c r="BI206">
        <v>2.6199185739438775</v>
      </c>
      <c r="BJ206">
        <v>4.6513066470014905</v>
      </c>
      <c r="BK206">
        <v>6.186748701526426</v>
      </c>
      <c r="BL206">
        <v>6.9465134351634532</v>
      </c>
      <c r="BM206">
        <v>4.1105164501327636</v>
      </c>
      <c r="BN206">
        <v>5.6102550990241724</v>
      </c>
      <c r="BO206">
        <v>12.091962457631155</v>
      </c>
      <c r="BP206">
        <v>12.769937791960601</v>
      </c>
      <c r="BQ206">
        <v>8.8098086049069195</v>
      </c>
    </row>
    <row r="207" spans="1:69" hidden="1" x14ac:dyDescent="0.2">
      <c r="A207" t="s">
        <v>475</v>
      </c>
      <c r="B207" t="s">
        <v>476</v>
      </c>
      <c r="C207" t="s">
        <v>71</v>
      </c>
      <c r="D207" t="s">
        <v>72</v>
      </c>
      <c r="AI207">
        <v>15.902911257507796</v>
      </c>
      <c r="AJ207">
        <v>128.62977168344651</v>
      </c>
      <c r="AK207">
        <v>1490.4184248448039</v>
      </c>
      <c r="AL207">
        <v>887.84073623402332</v>
      </c>
      <c r="AM207">
        <v>307.29805689706086</v>
      </c>
      <c r="AN207">
        <v>144.00686716319476</v>
      </c>
      <c r="AO207">
        <v>46.03637766834413</v>
      </c>
      <c r="AP207">
        <v>15.058503642684556</v>
      </c>
      <c r="AQ207">
        <v>18.538967341902435</v>
      </c>
      <c r="AR207">
        <v>72.386605466146449</v>
      </c>
      <c r="AS207">
        <v>37.697928212309705</v>
      </c>
      <c r="AT207">
        <v>16.479619357003656</v>
      </c>
      <c r="AU207">
        <v>15.661906305459311</v>
      </c>
      <c r="AV207">
        <v>13.657136811327476</v>
      </c>
      <c r="AW207">
        <v>20.255149577511105</v>
      </c>
      <c r="AX207">
        <v>19.279432134411039</v>
      </c>
      <c r="AY207">
        <v>15.120406631676445</v>
      </c>
      <c r="AZ207">
        <v>13.84123923982375</v>
      </c>
      <c r="BA207">
        <v>18.013518335084228</v>
      </c>
      <c r="BB207">
        <v>1.9706126030591236</v>
      </c>
      <c r="BC207">
        <v>14.191109568820707</v>
      </c>
      <c r="BD207">
        <v>24.460086062189816</v>
      </c>
      <c r="BE207">
        <v>8.9078684208783443</v>
      </c>
      <c r="BF207">
        <v>5.3201388723791467</v>
      </c>
      <c r="BG207">
        <v>7.4900711169660923</v>
      </c>
      <c r="BH207">
        <v>7.2497359067888851</v>
      </c>
      <c r="BI207">
        <v>2.844222698026428</v>
      </c>
      <c r="BJ207">
        <v>5.349815087676177</v>
      </c>
      <c r="BK207">
        <v>9.9979767114830764</v>
      </c>
      <c r="BL207">
        <v>3.2631328188168425</v>
      </c>
      <c r="BM207">
        <v>0.89824602719524194</v>
      </c>
      <c r="BN207">
        <v>18.209100744106792</v>
      </c>
      <c r="BO207">
        <v>18.184689261661816</v>
      </c>
      <c r="BP207">
        <v>7.998570997420515</v>
      </c>
      <c r="BQ207">
        <v>9.2756710402060065</v>
      </c>
    </row>
    <row r="208" spans="1:69" hidden="1" x14ac:dyDescent="0.2">
      <c r="A208" t="s">
        <v>477</v>
      </c>
      <c r="B208" t="s">
        <v>478</v>
      </c>
      <c r="C208" t="s">
        <v>71</v>
      </c>
      <c r="D208" t="s">
        <v>72</v>
      </c>
      <c r="F208">
        <v>7.1247136441040055</v>
      </c>
      <c r="G208">
        <v>-7.9713339389436584</v>
      </c>
      <c r="H208">
        <v>13.551228745948137</v>
      </c>
      <c r="I208">
        <v>16.025003510071215</v>
      </c>
      <c r="J208">
        <v>6.9638649535740456</v>
      </c>
      <c r="K208">
        <v>36.859274634815392</v>
      </c>
      <c r="L208">
        <v>36.966465432970097</v>
      </c>
      <c r="M208">
        <v>0.84849173572820291</v>
      </c>
      <c r="N208">
        <v>-1.284129677233409</v>
      </c>
      <c r="O208">
        <v>9.9364100991190725</v>
      </c>
      <c r="P208">
        <v>-0.11386613925445488</v>
      </c>
      <c r="Q208">
        <v>1.8463328650549045</v>
      </c>
      <c r="R208">
        <v>3.9162537699166506</v>
      </c>
      <c r="S208">
        <v>15.906911607897683</v>
      </c>
      <c r="T208">
        <v>87.969149077777359</v>
      </c>
      <c r="U208">
        <v>-1.8910875604918829</v>
      </c>
      <c r="V208">
        <v>13.511466300598272</v>
      </c>
      <c r="W208">
        <v>3.664738903085123</v>
      </c>
      <c r="X208">
        <v>6.0652857070243869</v>
      </c>
      <c r="Y208">
        <v>3.0647751534135068</v>
      </c>
      <c r="Z208">
        <v>7.7107018164099088</v>
      </c>
      <c r="AA208">
        <v>4.883180314897956</v>
      </c>
      <c r="AB208">
        <v>2.4492126441828503</v>
      </c>
      <c r="AC208">
        <v>16.856689265268216</v>
      </c>
      <c r="AD208">
        <v>4.5641299995672142</v>
      </c>
      <c r="AE208">
        <v>-7.0217325514064299</v>
      </c>
      <c r="AF208">
        <v>0.66527647888938191</v>
      </c>
      <c r="AG208">
        <v>2.2253763256513821</v>
      </c>
      <c r="AH208">
        <v>5.2970867600776899</v>
      </c>
      <c r="AI208">
        <v>13.461468914878012</v>
      </c>
      <c r="AJ208">
        <v>14.978936426007834</v>
      </c>
      <c r="AK208">
        <v>7.2832831605587103</v>
      </c>
      <c r="AL208">
        <v>13.870502592970908</v>
      </c>
      <c r="AM208">
        <v>17.191302902733781</v>
      </c>
      <c r="AN208">
        <v>51.266583051755418</v>
      </c>
      <c r="AO208">
        <v>10.921415751888048</v>
      </c>
      <c r="AP208">
        <v>15.621502443643976</v>
      </c>
      <c r="AQ208">
        <v>2.2282006478293113</v>
      </c>
      <c r="AR208">
        <v>11.106936709164785</v>
      </c>
      <c r="AS208">
        <v>3.2753972214388369</v>
      </c>
      <c r="AT208">
        <v>-0.39258927986296044</v>
      </c>
      <c r="AU208">
        <v>-5.2272089630582599</v>
      </c>
      <c r="AV208">
        <v>20.361302718784941</v>
      </c>
      <c r="AW208">
        <v>11.094908601376432</v>
      </c>
      <c r="AX208">
        <v>9.0308065483228717</v>
      </c>
      <c r="AY208">
        <v>2.4616032741659097</v>
      </c>
      <c r="AZ208">
        <v>12.936041097787964</v>
      </c>
      <c r="BA208">
        <v>14.454032566976281</v>
      </c>
      <c r="BB208">
        <v>7.1476569202258702</v>
      </c>
      <c r="BC208">
        <v>3.1871743189502837</v>
      </c>
      <c r="BD208">
        <v>7.1914773787590747</v>
      </c>
      <c r="BE208">
        <v>4.7228346580054961</v>
      </c>
      <c r="BF208">
        <v>2.6897017589668337</v>
      </c>
      <c r="BG208">
        <v>4.7323734881578332</v>
      </c>
      <c r="BH208">
        <v>0.48592879164890235</v>
      </c>
      <c r="BI208">
        <v>5.0301221405061369</v>
      </c>
      <c r="BJ208">
        <v>8.1626259471425158</v>
      </c>
      <c r="BK208">
        <v>-0.60332901920693871</v>
      </c>
      <c r="BL208">
        <v>2.4711702950760355</v>
      </c>
      <c r="BM208">
        <v>6.7118368014891843</v>
      </c>
      <c r="BN208">
        <v>2.9454162889347941</v>
      </c>
      <c r="BO208">
        <v>15.81131422368027</v>
      </c>
      <c r="BP208">
        <v>11.948836092478416</v>
      </c>
      <c r="BQ208">
        <v>3.76207995661197</v>
      </c>
    </row>
    <row r="209" spans="1:69" hidden="1" x14ac:dyDescent="0.2">
      <c r="A209" t="s">
        <v>479</v>
      </c>
      <c r="B209" t="s">
        <v>480</v>
      </c>
      <c r="C209" t="s">
        <v>71</v>
      </c>
      <c r="D209" t="s">
        <v>72</v>
      </c>
      <c r="F209">
        <v>2.6879999899922353</v>
      </c>
      <c r="G209">
        <v>2.2139201126053294</v>
      </c>
      <c r="H209">
        <v>4.3669920428669045</v>
      </c>
      <c r="I209">
        <v>1.3967150676139468</v>
      </c>
      <c r="J209">
        <v>8.1160371821084567</v>
      </c>
      <c r="K209">
        <v>9.7834476963138925</v>
      </c>
      <c r="L209">
        <v>5.2275401346635704</v>
      </c>
      <c r="M209">
        <v>6.7406048944277543</v>
      </c>
      <c r="N209">
        <v>4.9535977088029597</v>
      </c>
      <c r="O209">
        <v>4.3052871601106375</v>
      </c>
      <c r="P209">
        <v>3.8153102341026965</v>
      </c>
      <c r="Q209">
        <v>7.4323968672630869</v>
      </c>
      <c r="R209">
        <v>12.883145750780599</v>
      </c>
      <c r="S209">
        <v>19.456743317940152</v>
      </c>
      <c r="T209">
        <v>2.6382543548928936</v>
      </c>
      <c r="U209">
        <v>3.2629508405992311</v>
      </c>
      <c r="V209">
        <v>-1.5996982621387943</v>
      </c>
      <c r="W209">
        <v>6.7945110393712227</v>
      </c>
      <c r="X209">
        <v>13.980901027929733</v>
      </c>
      <c r="Y209">
        <v>12.012749291324795</v>
      </c>
      <c r="Z209">
        <v>8.9160233597362222</v>
      </c>
      <c r="AA209">
        <v>8.721636387184688</v>
      </c>
      <c r="AB209">
        <v>8.5203077403102867</v>
      </c>
      <c r="AC209">
        <v>9.0434609207248329</v>
      </c>
      <c r="AD209">
        <v>6.8512000949872629</v>
      </c>
      <c r="AE209">
        <v>6.9874191642645087</v>
      </c>
      <c r="AF209">
        <v>10.223762237300932</v>
      </c>
      <c r="AG209">
        <v>9.1747747009467133</v>
      </c>
      <c r="AH209">
        <v>8.3873910594719874</v>
      </c>
      <c r="AI209">
        <v>8.6005195711730806</v>
      </c>
      <c r="AJ209">
        <v>11.584330686902518</v>
      </c>
      <c r="AK209">
        <v>9.1844292387717701</v>
      </c>
      <c r="AL209">
        <v>9.8730885826910679</v>
      </c>
      <c r="AM209">
        <v>9.0654675515766669</v>
      </c>
      <c r="AN209">
        <v>7.7146606422739907</v>
      </c>
      <c r="AO209">
        <v>7.9678341775510688</v>
      </c>
      <c r="AP209">
        <v>6.8776821185153025</v>
      </c>
      <c r="AQ209">
        <v>6.3731900432023636</v>
      </c>
      <c r="AR209">
        <v>3.9718694477488228</v>
      </c>
      <c r="AS209">
        <v>4.0587019393079089</v>
      </c>
      <c r="AT209">
        <v>8.1772394647405022</v>
      </c>
      <c r="AU209">
        <v>3.9138626666028458</v>
      </c>
      <c r="AV209">
        <v>3.7460522217965604</v>
      </c>
      <c r="AW209">
        <v>5.1437748038129385</v>
      </c>
      <c r="AX209">
        <v>6.2992964046643039</v>
      </c>
      <c r="AY209">
        <v>7.8804887482145745</v>
      </c>
      <c r="AZ209">
        <v>7.2738535965557034</v>
      </c>
      <c r="BA209">
        <v>8.5274678601573584</v>
      </c>
      <c r="BB209">
        <v>6.9023600582817579</v>
      </c>
      <c r="BC209">
        <v>9.4264966351065169</v>
      </c>
      <c r="BD209">
        <v>8.8068924137230482</v>
      </c>
      <c r="BE209">
        <v>8.0494805770879765</v>
      </c>
      <c r="BF209">
        <v>6.493897130868632</v>
      </c>
      <c r="BG209">
        <v>4.8972126562319431</v>
      </c>
      <c r="BH209">
        <v>3.8094113538705159</v>
      </c>
      <c r="BI209">
        <v>4.7460673561375089</v>
      </c>
      <c r="BJ209">
        <v>4.6986157703508908</v>
      </c>
      <c r="BK209">
        <v>4.0897732322698204</v>
      </c>
      <c r="BL209">
        <v>3.3830729628854286</v>
      </c>
      <c r="BM209">
        <v>3.5292328591457007</v>
      </c>
      <c r="BN209">
        <v>7.1953627969509881</v>
      </c>
      <c r="BO209">
        <v>5.8459985143545765</v>
      </c>
      <c r="BP209">
        <v>5.0615452827313803</v>
      </c>
      <c r="BQ209">
        <v>3.3287651951791162</v>
      </c>
    </row>
    <row r="210" spans="1:69" hidden="1" x14ac:dyDescent="0.2">
      <c r="A210" t="s">
        <v>481</v>
      </c>
      <c r="B210" t="s">
        <v>482</v>
      </c>
      <c r="C210" t="s">
        <v>71</v>
      </c>
      <c r="D210" t="s">
        <v>72</v>
      </c>
      <c r="F210">
        <v>-1.7862681684118797</v>
      </c>
      <c r="G210">
        <v>-0.89386624429546657</v>
      </c>
      <c r="H210">
        <v>-4.6847389174755989</v>
      </c>
      <c r="I210">
        <v>-1.2211992431384573</v>
      </c>
      <c r="J210">
        <v>-0.44042993282957354</v>
      </c>
      <c r="K210">
        <v>1.9537501246899893</v>
      </c>
      <c r="L210">
        <v>2.3976407657945913</v>
      </c>
      <c r="M210">
        <v>19.428509837728285</v>
      </c>
      <c r="N210">
        <v>1.0166723321271149</v>
      </c>
      <c r="O210">
        <v>-21.440776343051908</v>
      </c>
      <c r="P210">
        <v>15.614671722967557</v>
      </c>
      <c r="Q210">
        <v>4.6046348176358833</v>
      </c>
      <c r="R210">
        <v>12.915827020188814</v>
      </c>
      <c r="S210">
        <v>150.63170923259023</v>
      </c>
      <c r="T210">
        <v>7.9818455557515904</v>
      </c>
      <c r="U210">
        <v>19.180924873859738</v>
      </c>
      <c r="V210">
        <v>9.3082199576076619</v>
      </c>
      <c r="W210">
        <v>4.1604483225297741</v>
      </c>
      <c r="X210">
        <v>24.158676620866842</v>
      </c>
      <c r="Y210">
        <v>37.625094295960594</v>
      </c>
      <c r="Z210">
        <v>10.583320512084924</v>
      </c>
      <c r="AA210">
        <v>0.45621255413476547</v>
      </c>
      <c r="AB210">
        <v>-4.5540099429656777</v>
      </c>
      <c r="AC210">
        <v>-1.5977919688497053</v>
      </c>
      <c r="AD210">
        <v>-3.7933865177588331</v>
      </c>
      <c r="AE210">
        <v>-15.282832849733268</v>
      </c>
      <c r="AF210">
        <v>2.8852514953735522</v>
      </c>
      <c r="AG210">
        <v>-3.3890915794903407</v>
      </c>
      <c r="AH210">
        <v>7.5849253511606634</v>
      </c>
      <c r="AI210">
        <v>12.746316604425019</v>
      </c>
      <c r="AJ210">
        <v>3.8671953400818921</v>
      </c>
      <c r="AK210">
        <v>-0.86200146012781431</v>
      </c>
      <c r="AL210">
        <v>-3.3723208208104296</v>
      </c>
      <c r="AM210">
        <v>0.70011735047059176</v>
      </c>
      <c r="AN210">
        <v>5.7131913554262326</v>
      </c>
      <c r="AO210">
        <v>7.1463482960945441</v>
      </c>
      <c r="AP210">
        <v>1.9039947539128974</v>
      </c>
      <c r="AQ210">
        <v>-13.858857306707165</v>
      </c>
      <c r="AR210">
        <v>10.882223863248754</v>
      </c>
      <c r="AS210">
        <v>11.909172938978443</v>
      </c>
      <c r="AT210">
        <v>-3.1710851727672065</v>
      </c>
      <c r="AU210">
        <v>3.6834096249460373</v>
      </c>
      <c r="AV210">
        <v>4.6432355503967813</v>
      </c>
      <c r="AW210">
        <v>10.368807975752503</v>
      </c>
      <c r="AX210">
        <v>19.728844831048292</v>
      </c>
      <c r="AY210">
        <v>11.005334090961753</v>
      </c>
      <c r="AZ210">
        <v>8.0465470583868495</v>
      </c>
      <c r="BA210">
        <v>17.70288679299945</v>
      </c>
      <c r="BB210">
        <v>-16.558839932336568</v>
      </c>
      <c r="BC210">
        <v>17.191327150290036</v>
      </c>
      <c r="BD210">
        <v>15.303968004346018</v>
      </c>
      <c r="BE210">
        <v>4.4513446137531645</v>
      </c>
      <c r="BF210">
        <v>-0.55743566213270412</v>
      </c>
      <c r="BG210">
        <v>-1.6962613672734506</v>
      </c>
      <c r="BH210">
        <v>-15.826929193661982</v>
      </c>
      <c r="BI210">
        <v>-2.2618460054971763</v>
      </c>
      <c r="BJ210">
        <v>6.2857924188196534</v>
      </c>
      <c r="BK210">
        <v>15.862588282917471</v>
      </c>
      <c r="BL210">
        <v>-1.366705801097595</v>
      </c>
      <c r="BM210">
        <v>-10.188494465745094</v>
      </c>
      <c r="BN210">
        <v>20.126994525850023</v>
      </c>
      <c r="BO210">
        <v>12.583206706084667</v>
      </c>
      <c r="BP210">
        <v>-2.184446262359927</v>
      </c>
      <c r="BQ210">
        <v>-0.24875775615603857</v>
      </c>
    </row>
    <row r="211" spans="1:69" hidden="1" x14ac:dyDescent="0.2">
      <c r="A211" t="s">
        <v>483</v>
      </c>
      <c r="B211" t="s">
        <v>484</v>
      </c>
      <c r="C211" t="s">
        <v>71</v>
      </c>
      <c r="D211" t="s">
        <v>72</v>
      </c>
      <c r="F211">
        <v>8.5427534532284142</v>
      </c>
      <c r="G211">
        <v>1.5930546768239111</v>
      </c>
      <c r="H211">
        <v>4.7108170542957168</v>
      </c>
      <c r="I211">
        <v>3.905977688806189</v>
      </c>
      <c r="J211">
        <v>-2.394677444995466</v>
      </c>
      <c r="K211">
        <v>6.4043506726949602</v>
      </c>
      <c r="L211">
        <v>6.7597854101634454</v>
      </c>
      <c r="M211">
        <v>2.3676421442567346</v>
      </c>
      <c r="N211">
        <v>8.6074602148087109</v>
      </c>
      <c r="O211">
        <v>7.3206373043079367</v>
      </c>
      <c r="P211">
        <v>6.5618725550055785</v>
      </c>
      <c r="Q211">
        <v>14.305450073608441</v>
      </c>
      <c r="R211">
        <v>23.151582650941975</v>
      </c>
      <c r="S211">
        <v>15.439086038382882</v>
      </c>
      <c r="T211">
        <v>5.2842661553362831</v>
      </c>
      <c r="U211">
        <v>6.8660219629163493</v>
      </c>
      <c r="V211">
        <v>17.40399847802783</v>
      </c>
      <c r="W211">
        <v>24.909922797477563</v>
      </c>
      <c r="X211">
        <v>23.974882611382569</v>
      </c>
      <c r="Y211">
        <v>22.026565158577569</v>
      </c>
      <c r="Z211">
        <v>24.977179530949172</v>
      </c>
      <c r="AA211">
        <v>30.590249363954882</v>
      </c>
      <c r="AB211">
        <v>26.058059061158318</v>
      </c>
      <c r="AC211">
        <v>33.636882804774871</v>
      </c>
      <c r="AD211">
        <v>46.169145237199331</v>
      </c>
      <c r="AE211">
        <v>28.642556642942452</v>
      </c>
      <c r="AF211">
        <v>25.891353260528717</v>
      </c>
      <c r="AG211">
        <v>78.86259633397745</v>
      </c>
      <c r="AH211">
        <v>36.738651928548308</v>
      </c>
      <c r="AI211">
        <v>66.235588347510742</v>
      </c>
      <c r="AJ211">
        <v>88.772846262367409</v>
      </c>
      <c r="AK211">
        <v>109.23365516194514</v>
      </c>
      <c r="AL211">
        <v>97.487348250858986</v>
      </c>
      <c r="AM211">
        <v>159.26697258904983</v>
      </c>
      <c r="AN211">
        <v>104.55502878741774</v>
      </c>
      <c r="AO211">
        <v>32.562255134583836</v>
      </c>
      <c r="AP211">
        <v>37.921169977766965</v>
      </c>
      <c r="AQ211">
        <v>17.662270765756219</v>
      </c>
      <c r="AR211">
        <v>15.823578015665959</v>
      </c>
      <c r="AS211">
        <v>9.8531369204178958</v>
      </c>
      <c r="AT211">
        <v>21.133991045710701</v>
      </c>
      <c r="AU211">
        <v>10.801235231863487</v>
      </c>
      <c r="AV211">
        <v>9.7999241039694169</v>
      </c>
      <c r="AW211">
        <v>17.273997918608089</v>
      </c>
      <c r="AX211">
        <v>18.054402868471996</v>
      </c>
      <c r="AY211">
        <v>7.6522543052652878</v>
      </c>
      <c r="AZ211">
        <v>15.306621479385768</v>
      </c>
      <c r="BA211">
        <v>8.8910166131140898</v>
      </c>
      <c r="BB211">
        <v>1.8621318930236868</v>
      </c>
      <c r="BC211">
        <v>22.669419211621914</v>
      </c>
      <c r="BD211">
        <v>26.328349965047693</v>
      </c>
      <c r="BE211">
        <v>30.128593139555818</v>
      </c>
      <c r="BF211">
        <v>36.428629117693276</v>
      </c>
      <c r="BG211">
        <v>34.066985518911139</v>
      </c>
      <c r="BH211">
        <v>14.022557439230084</v>
      </c>
      <c r="BI211">
        <v>20.685587730624519</v>
      </c>
      <c r="BJ211">
        <v>34.622370731531618</v>
      </c>
      <c r="BK211">
        <v>55.97532544375693</v>
      </c>
      <c r="BL211">
        <v>51.978893346545163</v>
      </c>
      <c r="BM211">
        <v>115.65291501439003</v>
      </c>
      <c r="BN211">
        <v>235.51544358234327</v>
      </c>
      <c r="BO211">
        <v>116.87407540579434</v>
      </c>
      <c r="BP211">
        <v>29.689669855638783</v>
      </c>
      <c r="BQ211">
        <v>243.66910737598619</v>
      </c>
    </row>
    <row r="212" spans="1:69" hidden="1" x14ac:dyDescent="0.2">
      <c r="A212" t="s">
        <v>485</v>
      </c>
      <c r="B212" t="s">
        <v>486</v>
      </c>
      <c r="C212" t="s">
        <v>71</v>
      </c>
      <c r="D212" t="s">
        <v>72</v>
      </c>
      <c r="F212">
        <v>2.4685774707440942</v>
      </c>
      <c r="G212">
        <v>2.5392476903290486</v>
      </c>
      <c r="H212">
        <v>1.48655561735562</v>
      </c>
      <c r="I212">
        <v>1.9953502656946824</v>
      </c>
      <c r="J212">
        <v>0.45282081896083071</v>
      </c>
      <c r="K212">
        <v>0.4162227119905566</v>
      </c>
      <c r="L212">
        <v>1.3329988673509661</v>
      </c>
      <c r="M212">
        <v>-0.54236862451774925</v>
      </c>
      <c r="N212">
        <v>6.8667756788312886</v>
      </c>
      <c r="O212">
        <v>2.0428603536138041</v>
      </c>
      <c r="P212">
        <v>3.0018083172566037</v>
      </c>
      <c r="Q212">
        <v>4.1036394661941245</v>
      </c>
      <c r="R212">
        <v>7.6843977126955849</v>
      </c>
      <c r="S212">
        <v>16.761195079324025</v>
      </c>
      <c r="T212">
        <v>11.629144487252248</v>
      </c>
      <c r="U212">
        <v>3.789214855842161</v>
      </c>
      <c r="V212">
        <v>8.1639546689048501</v>
      </c>
      <c r="W212">
        <v>6.7726319182815473</v>
      </c>
      <c r="X212">
        <v>9.7065813214088053</v>
      </c>
      <c r="Y212">
        <v>5.4560401274267036</v>
      </c>
      <c r="Z212">
        <v>11.047793221224197</v>
      </c>
      <c r="AA212">
        <v>9.7220556829437328</v>
      </c>
      <c r="AB212">
        <v>9.2920546863091147</v>
      </c>
      <c r="AC212">
        <v>7.7224700447522139</v>
      </c>
      <c r="AD212">
        <v>8.8922127560479254</v>
      </c>
      <c r="AE212">
        <v>5.5360829303033654</v>
      </c>
      <c r="AF212">
        <v>-1.7359543290489796</v>
      </c>
      <c r="AG212">
        <v>-1.1403317820023062</v>
      </c>
      <c r="AH212">
        <v>2.1702264619856351</v>
      </c>
      <c r="AI212">
        <v>-0.16687237531735377</v>
      </c>
      <c r="AJ212">
        <v>-0.92367842987195559</v>
      </c>
      <c r="AK212">
        <v>-0.82746651327731513</v>
      </c>
      <c r="AL212">
        <v>8.4269758477745427E-2</v>
      </c>
      <c r="AM212">
        <v>34.041367082088129</v>
      </c>
      <c r="AN212">
        <v>7.1130072857358897</v>
      </c>
      <c r="AO212">
        <v>4.161517341033985</v>
      </c>
      <c r="AP212">
        <v>1.9778291737995772</v>
      </c>
      <c r="AQ212">
        <v>2.7790309064741052</v>
      </c>
      <c r="AR212">
        <v>-0.52544772270957196</v>
      </c>
      <c r="AS212">
        <v>1.3086598487922032</v>
      </c>
      <c r="AT212">
        <v>6.9949351958055672</v>
      </c>
      <c r="AU212">
        <v>1.9046453086432678</v>
      </c>
      <c r="AV212">
        <v>-0.92287993370855759</v>
      </c>
      <c r="AW212">
        <v>-0.1349351109533643</v>
      </c>
      <c r="AX212">
        <v>4.72087875420317</v>
      </c>
      <c r="AY212">
        <v>2.8854920019692827</v>
      </c>
      <c r="AZ212">
        <v>6.5887124513435538</v>
      </c>
      <c r="BA212">
        <v>8.2165427307412671</v>
      </c>
      <c r="BB212">
        <v>-1.6890386825487553</v>
      </c>
      <c r="BC212">
        <v>1.6044157901993259</v>
      </c>
      <c r="BD212">
        <v>3.8574703835547552</v>
      </c>
      <c r="BE212">
        <v>3.2741115761676127</v>
      </c>
      <c r="BF212">
        <v>1.1861304699550317</v>
      </c>
      <c r="BG212">
        <v>-1.5158597345160274</v>
      </c>
      <c r="BH212">
        <v>1.0697846196460148</v>
      </c>
      <c r="BI212">
        <v>0.95564952008902537</v>
      </c>
      <c r="BJ212">
        <v>0.59891682688653702</v>
      </c>
      <c r="BK212">
        <v>-0.83964446473832766</v>
      </c>
      <c r="BL212">
        <v>2.0858018518125334</v>
      </c>
      <c r="BM212">
        <v>1.6027338304589875</v>
      </c>
      <c r="BN212">
        <v>1.4473062758497406</v>
      </c>
      <c r="BO212">
        <v>9.347021826143191</v>
      </c>
      <c r="BP212">
        <v>3.052506093729292</v>
      </c>
      <c r="BQ212">
        <v>-1.6963659166270446</v>
      </c>
    </row>
    <row r="213" spans="1:69" hidden="1" x14ac:dyDescent="0.2">
      <c r="A213" t="s">
        <v>487</v>
      </c>
      <c r="B213" t="s">
        <v>488</v>
      </c>
      <c r="C213" t="s">
        <v>71</v>
      </c>
      <c r="D213" t="s">
        <v>72</v>
      </c>
      <c r="F213">
        <v>0.33180772513239276</v>
      </c>
      <c r="G213">
        <v>0.46858056867711184</v>
      </c>
      <c r="H213">
        <v>0.9253186901910766</v>
      </c>
      <c r="I213">
        <v>0.56461947190442174</v>
      </c>
      <c r="J213">
        <v>1.0828091942109381</v>
      </c>
      <c r="K213">
        <v>2.1009940162629732</v>
      </c>
      <c r="L213">
        <v>0.36175998153692035</v>
      </c>
      <c r="M213">
        <v>1.4372943634933506</v>
      </c>
      <c r="N213">
        <v>2.2772305595624829</v>
      </c>
      <c r="O213">
        <v>1.5469620184769326</v>
      </c>
      <c r="P213">
        <v>4.8535453024230719</v>
      </c>
      <c r="Q213">
        <v>5.7260228150218353</v>
      </c>
      <c r="R213">
        <v>13.209851125054087</v>
      </c>
      <c r="S213">
        <v>16.31557304043605</v>
      </c>
      <c r="T213">
        <v>2.8890271747595193</v>
      </c>
      <c r="U213">
        <v>1.7198534638311287</v>
      </c>
      <c r="V213">
        <v>2.006678545903398</v>
      </c>
      <c r="W213">
        <v>4.041878855607365</v>
      </c>
      <c r="X213">
        <v>5.2354005316555003</v>
      </c>
      <c r="Y213">
        <v>11.127109004531448</v>
      </c>
      <c r="Z213">
        <v>5.8754893525999137</v>
      </c>
      <c r="AA213">
        <v>4.5329555121909664</v>
      </c>
      <c r="AB213">
        <v>3.1714396498405932</v>
      </c>
      <c r="AC213">
        <v>0.78791995234759327</v>
      </c>
      <c r="AD213">
        <v>-1.4654838117877915</v>
      </c>
      <c r="AE213">
        <v>-1.2528157868767522</v>
      </c>
      <c r="AF213">
        <v>0.5324279415726636</v>
      </c>
      <c r="AG213">
        <v>5.4307213169274746</v>
      </c>
      <c r="AH213">
        <v>4.1591704781811529</v>
      </c>
      <c r="AI213">
        <v>4.6974233054645822</v>
      </c>
      <c r="AJ213">
        <v>4.4353452107024509</v>
      </c>
      <c r="AK213">
        <v>1.3877030595459843</v>
      </c>
      <c r="AL213">
        <v>3.4561867748337249</v>
      </c>
      <c r="AM213">
        <v>3.4627396276992357</v>
      </c>
      <c r="AN213">
        <v>3.1762783092923428</v>
      </c>
      <c r="AO213">
        <v>1.506222812203589</v>
      </c>
      <c r="AP213">
        <v>1.0849922181525926</v>
      </c>
      <c r="AQ213">
        <v>-1.328848554562029</v>
      </c>
      <c r="AR213">
        <v>-3.5778297715097693</v>
      </c>
      <c r="AS213">
        <v>3.8634775178326919</v>
      </c>
      <c r="AT213">
        <v>-1.8144317307134799</v>
      </c>
      <c r="AU213">
        <v>-0.89691563238464767</v>
      </c>
      <c r="AV213">
        <v>-1.7990488693887841</v>
      </c>
      <c r="AW213">
        <v>3.9595282197786759</v>
      </c>
      <c r="AX213">
        <v>1.9005186505386007</v>
      </c>
      <c r="AY213">
        <v>1.8441830136441979</v>
      </c>
      <c r="AZ213">
        <v>5.9168244766969451</v>
      </c>
      <c r="BA213">
        <v>-1.3815554316942666</v>
      </c>
      <c r="BB213">
        <v>2.953924643737821</v>
      </c>
      <c r="BC213">
        <v>1.1078087134461612</v>
      </c>
      <c r="BD213">
        <v>1.170798203550973</v>
      </c>
      <c r="BE213">
        <v>0.4953457712008742</v>
      </c>
      <c r="BF213">
        <v>-0.43105939187167053</v>
      </c>
      <c r="BG213">
        <v>-0.26727004163480217</v>
      </c>
      <c r="BH213">
        <v>3.0719550096641797</v>
      </c>
      <c r="BI213">
        <v>0.52201960788778479</v>
      </c>
      <c r="BJ213">
        <v>2.8632861239591136</v>
      </c>
      <c r="BK213">
        <v>3.6072625650562316</v>
      </c>
      <c r="BL213">
        <v>-0.42489872649744598</v>
      </c>
      <c r="BM213">
        <v>-2.3929024556623943</v>
      </c>
      <c r="BN213">
        <v>10.929287581612243</v>
      </c>
      <c r="BO213">
        <v>14.921410129068803</v>
      </c>
      <c r="BP213">
        <v>-5.0186426400397011</v>
      </c>
      <c r="BQ213">
        <v>3.2418707684728645</v>
      </c>
    </row>
    <row r="214" spans="1:69" hidden="1" x14ac:dyDescent="0.2">
      <c r="A214" t="s">
        <v>489</v>
      </c>
      <c r="B214" t="s">
        <v>490</v>
      </c>
      <c r="C214" t="s">
        <v>71</v>
      </c>
      <c r="D214" t="s">
        <v>72</v>
      </c>
      <c r="Z214">
        <v>13.14434028642782</v>
      </c>
      <c r="AA214">
        <v>12.99767932409037</v>
      </c>
      <c r="AB214">
        <v>6.9501205014964142</v>
      </c>
      <c r="AC214">
        <v>10.922317469012469</v>
      </c>
      <c r="AD214">
        <v>9.4091893128911863</v>
      </c>
      <c r="AE214">
        <v>5.0979698080465283</v>
      </c>
      <c r="AF214">
        <v>11.494256945118536</v>
      </c>
      <c r="AG214">
        <v>16.812045312894</v>
      </c>
      <c r="AH214">
        <v>3.4536396117833164</v>
      </c>
      <c r="AI214">
        <v>34.106939236588943</v>
      </c>
      <c r="AJ214">
        <v>7.2456743440609159</v>
      </c>
      <c r="AK214">
        <v>13.157052604032842</v>
      </c>
      <c r="AL214">
        <v>17.018613255050425</v>
      </c>
      <c r="AM214">
        <v>27.937088494888812</v>
      </c>
      <c r="AN214">
        <v>9.5388192784834729</v>
      </c>
      <c r="AO214">
        <v>12.083891719911605</v>
      </c>
      <c r="AP214">
        <v>8.473222442212986</v>
      </c>
      <c r="AQ214">
        <v>11.152682090439583</v>
      </c>
      <c r="AR214">
        <v>7.6745792214241391</v>
      </c>
      <c r="AS214">
        <v>5.5590637944300454</v>
      </c>
      <c r="AT214">
        <v>9.9070022455981501</v>
      </c>
      <c r="AU214">
        <v>11.279103555301305</v>
      </c>
      <c r="AV214">
        <v>25.887081325784195</v>
      </c>
      <c r="AW214">
        <v>3.762837175502213</v>
      </c>
      <c r="AX214">
        <v>10.699306114641786</v>
      </c>
      <c r="AY214">
        <v>8.3437211260295214</v>
      </c>
      <c r="AZ214">
        <v>9.2943453155891405</v>
      </c>
      <c r="BA214">
        <v>6.4291621467773581</v>
      </c>
      <c r="BB214">
        <v>4.8731269192583824</v>
      </c>
      <c r="BC214">
        <v>1.7452779033142463</v>
      </c>
      <c r="BD214">
        <v>4.4768278887385549</v>
      </c>
      <c r="BE214">
        <v>4.6521926317731896</v>
      </c>
      <c r="BF214">
        <v>2.3522743375371959</v>
      </c>
      <c r="BG214">
        <v>3.6702755791838939</v>
      </c>
      <c r="BH214">
        <v>3.3577729595646559</v>
      </c>
      <c r="BI214">
        <v>0.34494242806158582</v>
      </c>
      <c r="BJ214">
        <v>2.5766856785920993</v>
      </c>
      <c r="BK214">
        <v>7.8578743829785083</v>
      </c>
      <c r="BL214">
        <v>1.2413030324181875</v>
      </c>
      <c r="BM214">
        <v>-1.3259173205171777</v>
      </c>
      <c r="BN214">
        <v>-5.5047454575060044</v>
      </c>
      <c r="BO214">
        <v>2.0166120715476694</v>
      </c>
      <c r="BP214">
        <v>6.0787933881826177</v>
      </c>
      <c r="BQ214">
        <v>4.3658253298279703</v>
      </c>
    </row>
    <row r="215" spans="1:69" hidden="1" x14ac:dyDescent="0.2">
      <c r="A215" t="s">
        <v>491</v>
      </c>
      <c r="B215" t="s">
        <v>492</v>
      </c>
      <c r="C215" t="s">
        <v>71</v>
      </c>
      <c r="D215" t="s">
        <v>72</v>
      </c>
      <c r="F215">
        <v>-3.2680940115881185E-4</v>
      </c>
      <c r="G215">
        <v>1.1186534672447124E-4</v>
      </c>
      <c r="H215">
        <v>1.6475570980389875E-4</v>
      </c>
      <c r="I215">
        <v>-2.78402464886085E-4</v>
      </c>
      <c r="J215">
        <v>5.1971004703547692</v>
      </c>
      <c r="K215">
        <v>2.7334687086998173</v>
      </c>
      <c r="L215">
        <v>-5.8507136343035455</v>
      </c>
      <c r="M215">
        <v>6.6668673877490221</v>
      </c>
      <c r="N215">
        <v>14.16508408225836</v>
      </c>
      <c r="O215">
        <v>-2.1423387947429546</v>
      </c>
      <c r="P215">
        <v>-6.9295204275098143</v>
      </c>
      <c r="Q215">
        <v>5.9503664686870792</v>
      </c>
      <c r="R215">
        <v>23.225197159750351</v>
      </c>
      <c r="S215">
        <v>14.160811937301744</v>
      </c>
      <c r="T215">
        <v>8.8688105139377313</v>
      </c>
      <c r="U215">
        <v>8.2841838424377414</v>
      </c>
      <c r="V215">
        <v>19.746863585345324</v>
      </c>
      <c r="W215">
        <v>23.850144872308633</v>
      </c>
      <c r="X215">
        <v>11.535731321343135</v>
      </c>
      <c r="Y215">
        <v>-6.0087505825605945</v>
      </c>
      <c r="Z215">
        <v>8.6983122479091151</v>
      </c>
      <c r="AA215">
        <v>18.501627325526599</v>
      </c>
      <c r="AB215">
        <v>19.438956007200844</v>
      </c>
      <c r="AC215">
        <v>39.767258597568315</v>
      </c>
      <c r="AD215">
        <v>68.88970650465734</v>
      </c>
      <c r="AE215">
        <v>78.503804008183806</v>
      </c>
      <c r="AF215">
        <v>165.67664586954044</v>
      </c>
      <c r="AG215">
        <v>64.288242501147494</v>
      </c>
      <c r="AH215">
        <v>61.491280197686422</v>
      </c>
      <c r="AI215">
        <v>70.59154770153981</v>
      </c>
      <c r="AJ215">
        <v>128.76166664815622</v>
      </c>
      <c r="AK215">
        <v>82.023579484464562</v>
      </c>
      <c r="AL215">
        <v>26.736321420633161</v>
      </c>
      <c r="AM215">
        <v>25.062043911535</v>
      </c>
      <c r="AN215">
        <v>33.597987864906457</v>
      </c>
      <c r="AO215">
        <v>29.580486584954514</v>
      </c>
      <c r="AP215">
        <v>2.2527683213095884</v>
      </c>
      <c r="AQ215">
        <v>23.775123067391021</v>
      </c>
      <c r="AR215">
        <v>17.193851687583944</v>
      </c>
      <c r="AS215">
        <v>3.2811411947647855</v>
      </c>
      <c r="AT215">
        <v>168.05300737966689</v>
      </c>
      <c r="AU215">
        <v>-3.9341661158816237</v>
      </c>
      <c r="AV215">
        <v>13.19768543442423</v>
      </c>
      <c r="AW215">
        <v>12.82645415535228</v>
      </c>
      <c r="AX215">
        <v>16.615766951508874</v>
      </c>
      <c r="AY215">
        <v>26.036675427147713</v>
      </c>
      <c r="AZ215">
        <v>8.1341892683710881</v>
      </c>
      <c r="BA215">
        <v>10.244885347800306</v>
      </c>
      <c r="BB215">
        <v>6.3419913218697417</v>
      </c>
      <c r="BC215">
        <v>19.123118004105734</v>
      </c>
      <c r="BD215">
        <v>15.342557750266678</v>
      </c>
      <c r="BE215">
        <v>14.109569591271793</v>
      </c>
      <c r="BF215">
        <v>6.2564539106640069</v>
      </c>
      <c r="BG215">
        <v>16.044912676569155</v>
      </c>
      <c r="BH215">
        <v>3.6133247739240204</v>
      </c>
      <c r="BI215">
        <v>4.3461638366286763</v>
      </c>
      <c r="BJ215">
        <v>7.4988079288138749</v>
      </c>
      <c r="BK215">
        <v>16.020731800780922</v>
      </c>
      <c r="BL215">
        <v>9.9594913310952649</v>
      </c>
      <c r="BM215">
        <v>13.321336341896341</v>
      </c>
      <c r="BN215">
        <v>7.4703145262967183</v>
      </c>
      <c r="BO215">
        <v>26.902830717206555</v>
      </c>
      <c r="BP215">
        <v>29.117773087123965</v>
      </c>
      <c r="BQ215">
        <v>20.001528816789076</v>
      </c>
    </row>
    <row r="216" spans="1:69" hidden="1" x14ac:dyDescent="0.2">
      <c r="A216" t="s">
        <v>493</v>
      </c>
      <c r="B216" t="s">
        <v>494</v>
      </c>
      <c r="C216" t="s">
        <v>71</v>
      </c>
      <c r="D216" t="s">
        <v>72</v>
      </c>
      <c r="K216">
        <v>-1.1753173608946952</v>
      </c>
      <c r="L216">
        <v>-0.39350762193683408</v>
      </c>
      <c r="M216">
        <v>0.19483186713028999</v>
      </c>
      <c r="N216">
        <v>0.42542824923086187</v>
      </c>
      <c r="O216">
        <v>4.8375115329140783</v>
      </c>
      <c r="P216">
        <v>0.8064575225223507</v>
      </c>
      <c r="Q216">
        <v>0.40031654299835395</v>
      </c>
      <c r="R216">
        <v>8.841365698512476</v>
      </c>
      <c r="S216">
        <v>9.6491479831565954</v>
      </c>
      <c r="T216">
        <v>9.88797935999375</v>
      </c>
      <c r="U216">
        <v>17.634211391800392</v>
      </c>
      <c r="V216">
        <v>18.321629852856731</v>
      </c>
      <c r="W216">
        <v>0.96001308236439797</v>
      </c>
      <c r="X216">
        <v>15.562407198171499</v>
      </c>
      <c r="Y216">
        <v>22.60128825648718</v>
      </c>
      <c r="Z216">
        <v>2.0093878995876651</v>
      </c>
      <c r="AA216">
        <v>5.552900619097386</v>
      </c>
      <c r="AB216">
        <v>1.5889979721315655</v>
      </c>
      <c r="AC216">
        <v>3.0540872962116765</v>
      </c>
      <c r="AD216">
        <v>3.1537806589639246</v>
      </c>
      <c r="AE216">
        <v>-0.94815922337537017</v>
      </c>
      <c r="AF216">
        <v>2.3739437095545952</v>
      </c>
      <c r="AG216">
        <v>3.9057555111204891</v>
      </c>
      <c r="AH216">
        <v>3.3553952451945008</v>
      </c>
      <c r="AI216">
        <v>5.1057283364576449</v>
      </c>
      <c r="AJ216">
        <v>7.4203983113969372</v>
      </c>
      <c r="AK216">
        <v>3.4199230219457633</v>
      </c>
      <c r="AL216">
        <v>8.5932837364192096</v>
      </c>
      <c r="AM216">
        <v>9.8041281842547079</v>
      </c>
      <c r="AN216">
        <v>10.929034070878402</v>
      </c>
      <c r="AO216">
        <v>6.5817186106197738</v>
      </c>
      <c r="AP216">
        <v>3.3838083741317178</v>
      </c>
      <c r="AQ216">
        <v>4.2300951830240905</v>
      </c>
      <c r="AR216">
        <v>0.99410516813418326</v>
      </c>
      <c r="AS216">
        <v>3.2726316704968781</v>
      </c>
      <c r="AT216">
        <v>3.3136316551397442</v>
      </c>
      <c r="AU216">
        <v>1.5106330118622253</v>
      </c>
      <c r="AV216">
        <v>2.9656714133687387</v>
      </c>
      <c r="AW216">
        <v>2.7176733821331567</v>
      </c>
      <c r="AX216">
        <v>4.2947632603107735</v>
      </c>
      <c r="AY216">
        <v>4.3326922674586257</v>
      </c>
      <c r="AZ216">
        <v>4.3953575497345696</v>
      </c>
      <c r="BA216">
        <v>3.5022990968641921</v>
      </c>
      <c r="BB216">
        <v>-3.3895339629339105E-2</v>
      </c>
      <c r="BC216">
        <v>2.5979205150403573</v>
      </c>
      <c r="BD216">
        <v>5.9533431549037203</v>
      </c>
      <c r="BE216">
        <v>2.475549962784001</v>
      </c>
      <c r="BF216">
        <v>0.6313116952610045</v>
      </c>
      <c r="BG216">
        <v>0.99323085486035723</v>
      </c>
      <c r="BH216">
        <v>1.3076177772310018</v>
      </c>
      <c r="BI216">
        <v>0.65774620739658474</v>
      </c>
      <c r="BJ216">
        <v>0.98656645626759598</v>
      </c>
      <c r="BK216">
        <v>1.7162630870751485</v>
      </c>
      <c r="BL216">
        <v>0.84801470110534183</v>
      </c>
      <c r="BM216">
        <v>0.65351231859975201</v>
      </c>
      <c r="BN216">
        <v>4.1420746859935491</v>
      </c>
      <c r="BO216">
        <v>6.5845634621845903</v>
      </c>
      <c r="BP216">
        <v>2.5937484930196604</v>
      </c>
      <c r="BQ216">
        <v>1.8141264032595075</v>
      </c>
    </row>
    <row r="217" spans="1:69" hidden="1" x14ac:dyDescent="0.2">
      <c r="A217" t="s">
        <v>495</v>
      </c>
      <c r="B217" t="s">
        <v>496</v>
      </c>
      <c r="C217" t="s">
        <v>71</v>
      </c>
      <c r="D217" t="s">
        <v>72</v>
      </c>
      <c r="AQ217">
        <v>1.8275150945042498</v>
      </c>
      <c r="AR217">
        <v>1.554636086390488</v>
      </c>
      <c r="AS217">
        <v>2.567733587395864</v>
      </c>
      <c r="AT217">
        <v>2.7034784138358674</v>
      </c>
      <c r="AU217">
        <v>2.3867689243367067</v>
      </c>
      <c r="AV217">
        <v>2.4518279154123235</v>
      </c>
      <c r="AW217">
        <v>2.0108826965786335</v>
      </c>
      <c r="AX217">
        <v>1.6678752719361967</v>
      </c>
      <c r="AY217">
        <v>2.0120724346076315</v>
      </c>
      <c r="AZ217">
        <v>-1.9723865877711972</v>
      </c>
      <c r="BA217">
        <v>2.8319697923222122</v>
      </c>
      <c r="BB217">
        <v>0.99937726813973882</v>
      </c>
      <c r="BC217">
        <v>1.4303557455005063</v>
      </c>
      <c r="BD217">
        <v>0.15269919798683418</v>
      </c>
      <c r="BE217">
        <v>3.1200446035816611</v>
      </c>
      <c r="BF217">
        <v>2.0006171750394088</v>
      </c>
      <c r="BG217">
        <v>0.38864452875802158</v>
      </c>
      <c r="BH217">
        <v>-0.74270025074082469</v>
      </c>
      <c r="BI217">
        <v>1.316705338714911</v>
      </c>
      <c r="BJ217">
        <v>1.7433558404848668</v>
      </c>
      <c r="BK217">
        <v>2.0642961024200446</v>
      </c>
      <c r="BL217">
        <v>0.91410016010920003</v>
      </c>
      <c r="BM217">
        <v>0.34457681525611861</v>
      </c>
      <c r="BN217">
        <v>1.8414331783618536</v>
      </c>
      <c r="BO217">
        <v>2.7646735234789048</v>
      </c>
    </row>
    <row r="218" spans="1:69" hidden="1" x14ac:dyDescent="0.2">
      <c r="A218" t="s">
        <v>497</v>
      </c>
      <c r="B218" t="s">
        <v>498</v>
      </c>
      <c r="C218" t="s">
        <v>71</v>
      </c>
      <c r="D218" t="s">
        <v>72</v>
      </c>
      <c r="F218">
        <v>9.7876022294541229</v>
      </c>
      <c r="G218">
        <v>-0.82402964548992941</v>
      </c>
      <c r="H218">
        <v>3.2961720404832278</v>
      </c>
      <c r="I218">
        <v>13.103426311195165</v>
      </c>
      <c r="J218">
        <v>12.894923066810932</v>
      </c>
      <c r="K218">
        <v>-3.2063652270574323</v>
      </c>
      <c r="L218">
        <v>-0.32441364016879959</v>
      </c>
      <c r="M218">
        <v>3.3973753656265586</v>
      </c>
      <c r="N218">
        <v>6.5223846924133255</v>
      </c>
      <c r="O218">
        <v>8.6121274038720941</v>
      </c>
      <c r="P218">
        <v>-0.5665354218856038</v>
      </c>
      <c r="Q218">
        <v>10.001887046741786</v>
      </c>
      <c r="R218">
        <v>10.628114188251232</v>
      </c>
      <c r="S218">
        <v>17.727898363814404</v>
      </c>
      <c r="T218">
        <v>15.287231289799166</v>
      </c>
      <c r="U218">
        <v>17.269578168529677</v>
      </c>
      <c r="V218">
        <v>10.370077176244209</v>
      </c>
      <c r="W218">
        <v>12.309383157019653</v>
      </c>
      <c r="X218">
        <v>15.677010097582112</v>
      </c>
      <c r="Y218">
        <v>89.600021500479016</v>
      </c>
      <c r="Z218">
        <v>19.692136519991422</v>
      </c>
      <c r="AA218">
        <v>28.433007132163425</v>
      </c>
      <c r="AB218">
        <v>36.471158182430059</v>
      </c>
      <c r="AC218">
        <v>71.60840156172074</v>
      </c>
      <c r="AD218">
        <v>28.018124271679426</v>
      </c>
      <c r="AE218">
        <v>39.060426728405787</v>
      </c>
      <c r="AF218">
        <v>29.706123938759134</v>
      </c>
      <c r="AG218">
        <v>63.932317207816681</v>
      </c>
      <c r="AH218">
        <v>102.70446758138499</v>
      </c>
      <c r="AI218">
        <v>215.83020553954373</v>
      </c>
      <c r="AJ218">
        <v>35.529014004962789</v>
      </c>
      <c r="AK218">
        <v>25.000504388414242</v>
      </c>
      <c r="AL218">
        <v>54.663487013655583</v>
      </c>
      <c r="AM218">
        <v>55.814745341994296</v>
      </c>
      <c r="AN218">
        <v>31.499996929661847</v>
      </c>
      <c r="AO218">
        <v>29.932376300344941</v>
      </c>
      <c r="AP218">
        <v>33.611106597720067</v>
      </c>
      <c r="AQ218">
        <v>21.9556451811453</v>
      </c>
      <c r="AR218">
        <v>14.387686304469071</v>
      </c>
      <c r="AS218">
        <v>14.609798316614658</v>
      </c>
      <c r="AT218">
        <v>8.2433866888806904</v>
      </c>
      <c r="AU218">
        <v>7.7204667106651073</v>
      </c>
      <c r="AV218">
        <v>6.279473377511863</v>
      </c>
      <c r="AW218">
        <v>6.79561761189062</v>
      </c>
      <c r="AX218">
        <v>16.06380206166375</v>
      </c>
      <c r="AY218">
        <v>-6.8677659988618132</v>
      </c>
      <c r="AZ218">
        <v>3.5171702197241785</v>
      </c>
      <c r="BA218">
        <v>2.0598898855200787</v>
      </c>
      <c r="BB218">
        <v>2.376131724217629</v>
      </c>
      <c r="BC218">
        <v>-15.34690230501073</v>
      </c>
      <c r="BD218">
        <v>-2.8877980559878438</v>
      </c>
      <c r="BE218">
        <v>5.7705449365566608</v>
      </c>
      <c r="BF218">
        <v>-10.466820425724549</v>
      </c>
      <c r="BG218">
        <v>8.9179119573465186</v>
      </c>
      <c r="BH218">
        <v>6.9694278827630711</v>
      </c>
      <c r="BI218">
        <v>4.0808852538827551</v>
      </c>
      <c r="BJ218">
        <v>0.58065747282182656</v>
      </c>
      <c r="BK218">
        <v>4.9791278493864297</v>
      </c>
      <c r="BL218">
        <v>11.863409202791658</v>
      </c>
      <c r="BM218">
        <v>5.3627898840934733</v>
      </c>
      <c r="BN218">
        <v>7.3878929398097029</v>
      </c>
      <c r="BO218">
        <v>7.9141661588314776</v>
      </c>
      <c r="BP218">
        <v>4.6659226126272415</v>
      </c>
      <c r="BQ218">
        <v>9.6564547951657715</v>
      </c>
    </row>
    <row r="219" spans="1:69" hidden="1" x14ac:dyDescent="0.2">
      <c r="A219" t="s">
        <v>499</v>
      </c>
      <c r="B219" t="s">
        <v>500</v>
      </c>
      <c r="C219" t="s">
        <v>71</v>
      </c>
      <c r="D219" t="s">
        <v>72</v>
      </c>
      <c r="AO219">
        <v>85.584190150382227</v>
      </c>
      <c r="AP219">
        <v>17.899291138194329</v>
      </c>
      <c r="AQ219">
        <v>24.581670866706773</v>
      </c>
      <c r="AR219">
        <v>28.869354319570732</v>
      </c>
      <c r="AS219">
        <v>79.218350868246546</v>
      </c>
      <c r="AT219">
        <v>84.152742942352319</v>
      </c>
      <c r="AU219">
        <v>19.101713677803488</v>
      </c>
      <c r="AV219">
        <v>12.528689450411193</v>
      </c>
      <c r="AW219">
        <v>8.1286561670678168</v>
      </c>
      <c r="AX219">
        <v>13.88566090048478</v>
      </c>
      <c r="AY219">
        <v>13.839225499574951</v>
      </c>
      <c r="AZ219">
        <v>8.8316860769137975</v>
      </c>
      <c r="BA219">
        <v>9.498385379813314</v>
      </c>
      <c r="BB219">
        <v>8.4369259125117964</v>
      </c>
      <c r="BC219">
        <v>4.9503089571328616</v>
      </c>
      <c r="BD219">
        <v>11.002315187962864</v>
      </c>
      <c r="BE219">
        <v>6.0440444589601867</v>
      </c>
      <c r="BF219">
        <v>7.8010852139730957</v>
      </c>
      <c r="BG219">
        <v>2.9094066800545875</v>
      </c>
      <c r="BH219">
        <v>2.1691208799201576</v>
      </c>
      <c r="BI219">
        <v>1.5438276855922055</v>
      </c>
      <c r="BJ219">
        <v>2.9973546083609506</v>
      </c>
      <c r="BK219">
        <v>1.999999402779622</v>
      </c>
      <c r="BL219">
        <v>2.3478311413629598</v>
      </c>
      <c r="BM219">
        <v>2.6493593974983014</v>
      </c>
      <c r="BN219">
        <v>5.6840494507808899</v>
      </c>
      <c r="BO219">
        <v>10.515921949946545</v>
      </c>
      <c r="BP219">
        <v>13.840232139291516</v>
      </c>
      <c r="BQ219">
        <v>5.2272574195020809</v>
      </c>
    </row>
    <row r="220" spans="1:69" hidden="1" x14ac:dyDescent="0.2">
      <c r="A220" t="s">
        <v>501</v>
      </c>
      <c r="B220" t="s">
        <v>502</v>
      </c>
      <c r="C220" t="s">
        <v>71</v>
      </c>
      <c r="D220" t="s">
        <v>72</v>
      </c>
      <c r="F220">
        <v>3.278445997779599</v>
      </c>
      <c r="G220">
        <v>1.8037943973324033</v>
      </c>
      <c r="H220">
        <v>3.0944167774832678</v>
      </c>
      <c r="I220">
        <v>3.2270777530270607</v>
      </c>
      <c r="J220">
        <v>2.87746509361601</v>
      </c>
      <c r="K220">
        <v>4.127236330449179</v>
      </c>
      <c r="L220">
        <v>1.2277518339989086</v>
      </c>
      <c r="M220">
        <v>2.7122276471397413</v>
      </c>
      <c r="N220">
        <v>4.8988429537123039</v>
      </c>
      <c r="O220">
        <v>3.7850036465982839</v>
      </c>
      <c r="P220">
        <v>4.1261742339544014</v>
      </c>
      <c r="Q220">
        <v>5.565533865653272</v>
      </c>
      <c r="R220">
        <v>10.318872463254536</v>
      </c>
      <c r="S220">
        <v>14.489209069890798</v>
      </c>
      <c r="T220">
        <v>11.286974864321969</v>
      </c>
      <c r="U220">
        <v>10.619161301657421</v>
      </c>
      <c r="V220">
        <v>10.408101181964483</v>
      </c>
      <c r="W220">
        <v>9.1941519474686757</v>
      </c>
      <c r="X220">
        <v>11.455004116219023</v>
      </c>
      <c r="Y220">
        <v>12.864627339902981</v>
      </c>
      <c r="Z220">
        <v>10.830792309031786</v>
      </c>
      <c r="AA220">
        <v>12.037252602193838</v>
      </c>
      <c r="AB220">
        <v>11.1028813560158</v>
      </c>
      <c r="AC220">
        <v>12.010217108534377</v>
      </c>
      <c r="AD220">
        <v>8.9308300055906074</v>
      </c>
      <c r="AE220">
        <v>8.0258830982402429</v>
      </c>
      <c r="AF220">
        <v>9.8233113499663034</v>
      </c>
      <c r="AG220">
        <v>9.361930410172107</v>
      </c>
      <c r="AH220">
        <v>11.04755808985594</v>
      </c>
      <c r="AI220">
        <v>10.637198736734661</v>
      </c>
      <c r="AJ220">
        <v>8.5642790036469307</v>
      </c>
      <c r="AK220">
        <v>6.9612820070560915</v>
      </c>
      <c r="AL220">
        <v>11.297973858390549</v>
      </c>
      <c r="AM220">
        <v>24.412569682152878</v>
      </c>
      <c r="AN220">
        <v>11.043789851394052</v>
      </c>
      <c r="AO220">
        <v>10.921415751888048</v>
      </c>
      <c r="AP220">
        <v>5.1207692412842789</v>
      </c>
      <c r="AQ220">
        <v>6.9635795165232679</v>
      </c>
      <c r="AR220">
        <v>7.9047955895694315</v>
      </c>
      <c r="AS220">
        <v>9.1821914156735573</v>
      </c>
      <c r="AT220">
        <v>6.8759687974264523</v>
      </c>
      <c r="AU220">
        <v>4.1706559168441402</v>
      </c>
      <c r="AV220">
        <v>5.6231925905445621</v>
      </c>
      <c r="AW220">
        <v>9.6003925600674194</v>
      </c>
      <c r="AX220">
        <v>7.3310479826829607</v>
      </c>
      <c r="AY220">
        <v>7.4613445396577731</v>
      </c>
      <c r="AZ220">
        <v>7.0366610745821561</v>
      </c>
      <c r="BA220">
        <v>10.244885347800306</v>
      </c>
      <c r="BB220">
        <v>2.8284610111141077</v>
      </c>
      <c r="BC220">
        <v>5.640971249553985</v>
      </c>
      <c r="BD220">
        <v>8.7261063231163547</v>
      </c>
      <c r="BE220">
        <v>5.618359899945176</v>
      </c>
      <c r="BF220">
        <v>3.5210423807609388</v>
      </c>
      <c r="BG220">
        <v>3.0883912389788719</v>
      </c>
      <c r="BH220">
        <v>3.2928048367107579</v>
      </c>
      <c r="BI220">
        <v>4.3476963906937343</v>
      </c>
      <c r="BJ220">
        <v>4.805295287820222</v>
      </c>
      <c r="BK220">
        <v>3.9311436643556092</v>
      </c>
      <c r="BL220">
        <v>2.3292460034827442</v>
      </c>
      <c r="BM220">
        <v>4.0757648689826524</v>
      </c>
      <c r="BN220">
        <v>5.6304918539763875</v>
      </c>
      <c r="BO220">
        <v>8.1748969836740244</v>
      </c>
      <c r="BP220">
        <v>5.4727381368620982</v>
      </c>
      <c r="BQ220">
        <v>4.4026081440270417</v>
      </c>
    </row>
    <row r="221" spans="1:69" hidden="1" x14ac:dyDescent="0.2">
      <c r="A221" t="s">
        <v>503</v>
      </c>
      <c r="B221" t="s">
        <v>504</v>
      </c>
      <c r="C221" t="s">
        <v>71</v>
      </c>
      <c r="D221" t="s">
        <v>72</v>
      </c>
      <c r="BB221">
        <v>-11.829329539105316</v>
      </c>
      <c r="BC221">
        <v>12.926402431149171</v>
      </c>
      <c r="BD221">
        <v>38.833342972193094</v>
      </c>
      <c r="BE221">
        <v>46.50690475548015</v>
      </c>
      <c r="BF221">
        <v>36.512158499485736</v>
      </c>
      <c r="BG221">
        <v>-26.700284582256671</v>
      </c>
      <c r="BH221">
        <v>17.689332139315056</v>
      </c>
    </row>
    <row r="222" spans="1:69" hidden="1" x14ac:dyDescent="0.2">
      <c r="A222" t="s">
        <v>505</v>
      </c>
      <c r="B222" t="s">
        <v>506</v>
      </c>
      <c r="C222" t="s">
        <v>71</v>
      </c>
      <c r="D222" t="s">
        <v>72</v>
      </c>
      <c r="F222">
        <v>3.1342547312386273</v>
      </c>
      <c r="G222">
        <v>1.6302468264628516</v>
      </c>
      <c r="H222">
        <v>3.0089253319856155</v>
      </c>
      <c r="I222">
        <v>3.7019603833053978</v>
      </c>
      <c r="J222">
        <v>2.837792728936023</v>
      </c>
      <c r="K222">
        <v>3.9285243967435761</v>
      </c>
      <c r="L222">
        <v>1.3329988673509661</v>
      </c>
      <c r="M222">
        <v>2.7122276471397413</v>
      </c>
      <c r="N222">
        <v>4.5398067822355443</v>
      </c>
      <c r="O222">
        <v>3.7850036465982839</v>
      </c>
      <c r="P222">
        <v>3.5141465593571652</v>
      </c>
      <c r="Q222">
        <v>5.565533865653272</v>
      </c>
      <c r="R222">
        <v>10.318872463254536</v>
      </c>
      <c r="S222">
        <v>14.489209069890798</v>
      </c>
      <c r="T222">
        <v>11.286974864321969</v>
      </c>
      <c r="U222">
        <v>10.109539702279655</v>
      </c>
      <c r="V222">
        <v>10.579939487056713</v>
      </c>
      <c r="W222">
        <v>8.8610306837418307</v>
      </c>
      <c r="X222">
        <v>11.455004116219023</v>
      </c>
      <c r="Y222">
        <v>12.864627339902981</v>
      </c>
      <c r="Z222">
        <v>10.625287024999359</v>
      </c>
      <c r="AA222">
        <v>10.839255801970793</v>
      </c>
      <c r="AB222">
        <v>10.817400274057803</v>
      </c>
      <c r="AC222">
        <v>11.717493387168503</v>
      </c>
      <c r="AD222">
        <v>8.9308300055906074</v>
      </c>
      <c r="AE222">
        <v>8.0225608926818239</v>
      </c>
      <c r="AF222">
        <v>9.3999479659881757</v>
      </c>
      <c r="AG222">
        <v>8.9579518663301769</v>
      </c>
      <c r="AH222">
        <v>9.7690093725366154</v>
      </c>
      <c r="AI222">
        <v>10.583630703260582</v>
      </c>
      <c r="AJ222">
        <v>8.5642790036469307</v>
      </c>
      <c r="AK222">
        <v>6.9612820070560915</v>
      </c>
      <c r="AL222">
        <v>11.297973858390549</v>
      </c>
      <c r="AM222">
        <v>23.249480847914896</v>
      </c>
      <c r="AN222">
        <v>11.043789851394052</v>
      </c>
      <c r="AO222">
        <v>9.0748348887851336</v>
      </c>
      <c r="AP222">
        <v>5.0553459310608559</v>
      </c>
      <c r="AQ222">
        <v>6.9635795165232679</v>
      </c>
      <c r="AR222">
        <v>7.6120782777759501</v>
      </c>
      <c r="AS222">
        <v>8.5066010783455965</v>
      </c>
      <c r="AT222">
        <v>6.2320125154731159</v>
      </c>
      <c r="AU222">
        <v>3.6131613542673904</v>
      </c>
      <c r="AV222">
        <v>5.9468347893234466</v>
      </c>
      <c r="AW222">
        <v>9.6003925600674194</v>
      </c>
      <c r="AX222">
        <v>7.3310479826829607</v>
      </c>
      <c r="AY222">
        <v>7.4613445396577731</v>
      </c>
      <c r="AZ222">
        <v>7.0997309934301569</v>
      </c>
      <c r="BA222">
        <v>10.425576064865567</v>
      </c>
      <c r="BB222">
        <v>3.3034042022756438</v>
      </c>
      <c r="BC222">
        <v>5.5803508327402014</v>
      </c>
      <c r="BD222">
        <v>8.7261063231163547</v>
      </c>
      <c r="BE222">
        <v>5.7972722122579086</v>
      </c>
      <c r="BF222">
        <v>3.8133483598161462</v>
      </c>
      <c r="BG222">
        <v>3.9841085638894</v>
      </c>
      <c r="BH222">
        <v>3.2928048367107579</v>
      </c>
      <c r="BI222">
        <v>4.3476963906937343</v>
      </c>
      <c r="BJ222">
        <v>4.805295287820222</v>
      </c>
      <c r="BK222">
        <v>3.9311436643556092</v>
      </c>
      <c r="BL222">
        <v>2.3292460034827442</v>
      </c>
      <c r="BM222">
        <v>4.2805626515774549</v>
      </c>
      <c r="BN222">
        <v>5.6304918539763875</v>
      </c>
      <c r="BO222">
        <v>8.1748969836740244</v>
      </c>
      <c r="BP222">
        <v>5.4727381368620982</v>
      </c>
      <c r="BQ222">
        <v>4.4026081440270417</v>
      </c>
    </row>
    <row r="223" spans="1:69" hidden="1" x14ac:dyDescent="0.2">
      <c r="A223" t="s">
        <v>507</v>
      </c>
      <c r="B223" t="s">
        <v>508</v>
      </c>
      <c r="C223" t="s">
        <v>71</v>
      </c>
      <c r="D223" t="s">
        <v>72</v>
      </c>
      <c r="P223">
        <v>5.38437111275978</v>
      </c>
      <c r="Q223">
        <v>7.6660132456678411</v>
      </c>
      <c r="R223">
        <v>12.548073989270293</v>
      </c>
      <c r="S223">
        <v>18.087817103007239</v>
      </c>
      <c r="T223">
        <v>9.7582644511651324</v>
      </c>
      <c r="U223">
        <v>6.6495926237987675</v>
      </c>
      <c r="V223">
        <v>8.5794094162903889</v>
      </c>
      <c r="W223">
        <v>7.3491819899450803</v>
      </c>
      <c r="X223">
        <v>10.625525795503961</v>
      </c>
      <c r="Y223">
        <v>12.861006058028103</v>
      </c>
      <c r="Z223">
        <v>8.6832915366128418</v>
      </c>
      <c r="AA223">
        <v>7.436987913068279</v>
      </c>
      <c r="AB223">
        <v>5.9769670241477684</v>
      </c>
      <c r="AC223">
        <v>6.17790852596886</v>
      </c>
      <c r="AD223">
        <v>4.4508684382002883</v>
      </c>
      <c r="AE223">
        <v>5.0979698080465283</v>
      </c>
      <c r="AF223">
        <v>7.1633757075401121</v>
      </c>
      <c r="AG223">
        <v>6.4537067442496294</v>
      </c>
      <c r="AH223">
        <v>5.68893659993266</v>
      </c>
      <c r="AI223">
        <v>6.3701774856541533</v>
      </c>
      <c r="AJ223">
        <v>5.9931316401637957</v>
      </c>
      <c r="AK223">
        <v>5.0489247791886953</v>
      </c>
      <c r="AL223">
        <v>3.0337240195667476</v>
      </c>
      <c r="AM223">
        <v>3.561744701937954</v>
      </c>
      <c r="AN223">
        <v>3.048123890478351</v>
      </c>
      <c r="AO223">
        <v>2.9747816307043422</v>
      </c>
      <c r="AP223">
        <v>2.2777658479659237</v>
      </c>
      <c r="AQ223">
        <v>2.9700928152720678</v>
      </c>
      <c r="AR223">
        <v>4.4334228616492055</v>
      </c>
      <c r="AS223">
        <v>2.567733587395864</v>
      </c>
      <c r="AT223">
        <v>4.0207168783268372</v>
      </c>
      <c r="AU223">
        <v>3.0751558354030522</v>
      </c>
      <c r="AV223">
        <v>3.8893856481027456</v>
      </c>
      <c r="AW223">
        <v>3.7472262139151695</v>
      </c>
      <c r="AX223">
        <v>3.9951333907488333</v>
      </c>
      <c r="AY223">
        <v>4.0411618501624957</v>
      </c>
      <c r="AZ223">
        <v>4.6968885457066705</v>
      </c>
      <c r="BA223">
        <v>5.6866928220934199</v>
      </c>
      <c r="BB223">
        <v>1.7651258761991073</v>
      </c>
      <c r="BC223">
        <v>1.816537691065264</v>
      </c>
      <c r="BD223">
        <v>2.7470408981606624</v>
      </c>
      <c r="BE223">
        <v>3.1200446035816611</v>
      </c>
      <c r="BF223">
        <v>2.2421812768415208</v>
      </c>
      <c r="BG223">
        <v>1.6803796472858039</v>
      </c>
      <c r="BH223">
        <v>2.7800967996916057</v>
      </c>
      <c r="BI223">
        <v>2.1099642271515791</v>
      </c>
      <c r="BJ223">
        <v>2.2149806797436042</v>
      </c>
      <c r="BK223">
        <v>1.7512939541712385</v>
      </c>
      <c r="BL223">
        <v>1.5237541855706453</v>
      </c>
      <c r="BM223">
        <v>0.35536862084360621</v>
      </c>
      <c r="BN223">
        <v>3.0999652869345837</v>
      </c>
      <c r="BO223">
        <v>6.0690227870922584</v>
      </c>
      <c r="BP223">
        <v>5.2772546442724888</v>
      </c>
      <c r="BQ223">
        <v>3.5381962282177142</v>
      </c>
    </row>
    <row r="224" spans="1:69" hidden="1" x14ac:dyDescent="0.2">
      <c r="A224" t="s">
        <v>509</v>
      </c>
      <c r="B224" t="s">
        <v>510</v>
      </c>
      <c r="C224" t="s">
        <v>71</v>
      </c>
      <c r="D224" t="s">
        <v>72</v>
      </c>
      <c r="P224">
        <v>-6.194135767981308</v>
      </c>
      <c r="Q224">
        <v>3.613039831303638</v>
      </c>
      <c r="R224">
        <v>20.589510005935765</v>
      </c>
      <c r="S224">
        <v>1.2313274679822399</v>
      </c>
      <c r="T224">
        <v>-0.83022986582722069</v>
      </c>
      <c r="U224">
        <v>0.81672830043602573</v>
      </c>
      <c r="V224">
        <v>-4.8076617691817631</v>
      </c>
      <c r="W224">
        <v>4.6499985727823372</v>
      </c>
      <c r="X224">
        <v>-0.53104382681803486</v>
      </c>
      <c r="Y224">
        <v>24.639980007430978</v>
      </c>
      <c r="Z224">
        <v>25.903928486475891</v>
      </c>
      <c r="AA224">
        <v>-0.39285397228570673</v>
      </c>
      <c r="AB224">
        <v>0.46931926082808673</v>
      </c>
      <c r="AC224">
        <v>15.587584385592024</v>
      </c>
      <c r="AD224">
        <v>-2.2452884791625394</v>
      </c>
      <c r="AE224">
        <v>28.734773542004632</v>
      </c>
      <c r="AF224">
        <v>44.754118488539234</v>
      </c>
      <c r="AG224">
        <v>33.321975869807261</v>
      </c>
      <c r="AH224">
        <v>39.357509784440339</v>
      </c>
      <c r="AI224">
        <v>42.23904381102875</v>
      </c>
      <c r="AJ224">
        <v>25.345193748701149</v>
      </c>
      <c r="AK224">
        <v>39.558724269166333</v>
      </c>
      <c r="AL224">
        <v>75.387634029439909</v>
      </c>
      <c r="AM224">
        <v>74.189612676379852</v>
      </c>
      <c r="AN224">
        <v>50.063916128897063</v>
      </c>
      <c r="AO224">
        <v>99.235956030315663</v>
      </c>
      <c r="AP224">
        <v>39.113982139744223</v>
      </c>
      <c r="AQ224">
        <v>16.000019192026912</v>
      </c>
      <c r="AR224">
        <v>7.9047955895694315</v>
      </c>
      <c r="AS224">
        <v>9.9760152016564803</v>
      </c>
      <c r="AT224">
        <v>7.1844729550444555</v>
      </c>
      <c r="AU224">
        <v>11.51481225978084</v>
      </c>
      <c r="AV224">
        <v>13.839797782270537</v>
      </c>
      <c r="AW224">
        <v>14.839341732124822</v>
      </c>
      <c r="AX224">
        <v>19.092574140870667</v>
      </c>
      <c r="AY224">
        <v>13.324998917146161</v>
      </c>
      <c r="AZ224">
        <v>9.6025818997089516</v>
      </c>
      <c r="BA224">
        <v>28.828286449499643</v>
      </c>
      <c r="BB224">
        <v>13.95334880076922</v>
      </c>
      <c r="BC224">
        <v>6.9653241244651269</v>
      </c>
      <c r="BD224">
        <v>11.680704220460214</v>
      </c>
      <c r="BE224">
        <v>6.4677635405762572</v>
      </c>
      <c r="BF224">
        <v>7.2025576072240085</v>
      </c>
      <c r="BG224">
        <v>4.6226979915235091</v>
      </c>
      <c r="BH224">
        <v>4.5036970963915053</v>
      </c>
      <c r="BI224">
        <v>7.0534716954384464</v>
      </c>
      <c r="BJ224">
        <v>4.0807737593909508</v>
      </c>
      <c r="BK224">
        <v>8.9196614952752782</v>
      </c>
      <c r="BL224">
        <v>11.264368090364172</v>
      </c>
      <c r="BM224">
        <v>9.2682773477134077</v>
      </c>
      <c r="BN224">
        <v>5.1643358859296171</v>
      </c>
      <c r="BO224">
        <v>15.780650993593156</v>
      </c>
      <c r="BP224">
        <v>21.6884761062027</v>
      </c>
      <c r="BQ224">
        <v>14.352166671103845</v>
      </c>
    </row>
    <row r="225" spans="1:69" hidden="1" x14ac:dyDescent="0.2">
      <c r="A225" t="s">
        <v>511</v>
      </c>
      <c r="B225" t="s">
        <v>512</v>
      </c>
      <c r="C225" t="s">
        <v>71</v>
      </c>
      <c r="D225" t="s">
        <v>72</v>
      </c>
      <c r="F225">
        <v>3.1281240193935673</v>
      </c>
      <c r="G225">
        <v>3.7977556744212393</v>
      </c>
      <c r="H225">
        <v>2.6868991242928928</v>
      </c>
      <c r="I225">
        <v>0.19625493510126546</v>
      </c>
      <c r="J225">
        <v>2.4061968529008624</v>
      </c>
      <c r="K225">
        <v>3.5936408271235507</v>
      </c>
      <c r="L225">
        <v>3.4293604819266648</v>
      </c>
      <c r="M225">
        <v>1.632521058057975</v>
      </c>
      <c r="N225">
        <v>2.9496165458500627</v>
      </c>
      <c r="O225">
        <v>3.0898646220148862</v>
      </c>
      <c r="P225">
        <v>5.38437111275978</v>
      </c>
      <c r="Q225">
        <v>4.2634544840465907</v>
      </c>
      <c r="R225">
        <v>10.810097045191938</v>
      </c>
      <c r="S225">
        <v>20.258397851069361</v>
      </c>
      <c r="T225">
        <v>10.484570374597027</v>
      </c>
      <c r="U225">
        <v>-0.19033929948665218</v>
      </c>
      <c r="V225">
        <v>15.157945002907098</v>
      </c>
      <c r="W225">
        <v>7.5545559717990329</v>
      </c>
      <c r="X225">
        <v>7.032405164831431</v>
      </c>
      <c r="Y225">
        <v>11.400706242935073</v>
      </c>
      <c r="Z225">
        <v>4.4107370406345439</v>
      </c>
      <c r="AA225">
        <v>7.436987913068279</v>
      </c>
      <c r="AB225">
        <v>0.47593866231554216</v>
      </c>
      <c r="AC225">
        <v>-0.31307924186606328</v>
      </c>
      <c r="AD225">
        <v>-0.9395424871834166</v>
      </c>
      <c r="AE225">
        <v>1.2518409487254161</v>
      </c>
      <c r="AF225">
        <v>17.258823718132234</v>
      </c>
      <c r="AG225">
        <v>9.8973912470317487</v>
      </c>
      <c r="AH225">
        <v>12.129493242193561</v>
      </c>
      <c r="AI225">
        <v>49.908430029626885</v>
      </c>
      <c r="AJ225">
        <v>12.337636585722905</v>
      </c>
      <c r="AK225">
        <v>34.898922486443496</v>
      </c>
      <c r="AL225">
        <v>157.45371088670862</v>
      </c>
      <c r="AM225">
        <v>438.26372577275924</v>
      </c>
      <c r="AN225">
        <v>276.75384539538555</v>
      </c>
      <c r="AO225">
        <v>11.882550371910725</v>
      </c>
      <c r="AP225">
        <v>1.4936997685117888</v>
      </c>
      <c r="AQ225">
        <v>17.211624316665947</v>
      </c>
      <c r="AR225">
        <v>73.973186759317315</v>
      </c>
      <c r="AS225">
        <v>60.742821379891723</v>
      </c>
      <c r="AT225">
        <v>39.530228233386993</v>
      </c>
      <c r="AU225">
        <v>37.453282319257909</v>
      </c>
      <c r="AV225">
        <v>21.317978216122896</v>
      </c>
      <c r="AW225">
        <v>12.837927847588844</v>
      </c>
      <c r="AX225">
        <v>15.539811940085514</v>
      </c>
      <c r="AY225">
        <v>39.036124631904812</v>
      </c>
      <c r="AZ225">
        <v>6.4252012519073958</v>
      </c>
      <c r="BA225">
        <v>15.521143220118233</v>
      </c>
      <c r="BB225">
        <v>6.4836242478257589</v>
      </c>
      <c r="BC225">
        <v>7.1965541906269266</v>
      </c>
      <c r="BD225">
        <v>13.844446845950557</v>
      </c>
      <c r="BE225">
        <v>10.735200604833082</v>
      </c>
      <c r="BF225">
        <v>0.38376616817397746</v>
      </c>
      <c r="BG225">
        <v>1.5836871581602168</v>
      </c>
      <c r="BH225">
        <v>4.8545906094599474</v>
      </c>
      <c r="BI225">
        <v>24.069363825879648</v>
      </c>
      <c r="BJ225">
        <v>28.145105540670158</v>
      </c>
      <c r="BK225">
        <v>5.6605937708962557</v>
      </c>
      <c r="BL225">
        <v>5.1789085915781641</v>
      </c>
      <c r="BM225">
        <v>45.217756349246372</v>
      </c>
      <c r="BN225">
        <v>62.074533456084055</v>
      </c>
      <c r="BO225">
        <v>49.423283739680244</v>
      </c>
      <c r="BP225">
        <v>32.268606490209152</v>
      </c>
      <c r="BQ225">
        <v>19.703860278182788</v>
      </c>
    </row>
    <row r="226" spans="1:69" hidden="1" x14ac:dyDescent="0.2">
      <c r="A226" t="s">
        <v>513</v>
      </c>
      <c r="B226" t="s">
        <v>514</v>
      </c>
      <c r="C226" t="s">
        <v>71</v>
      </c>
      <c r="D226" t="s">
        <v>72</v>
      </c>
      <c r="AJ226">
        <v>34.607138234388202</v>
      </c>
      <c r="AK226">
        <v>11.214618981098241</v>
      </c>
      <c r="AL226">
        <v>15.577910221775795</v>
      </c>
      <c r="AM226">
        <v>13.448486982557313</v>
      </c>
      <c r="AN226">
        <v>9.8910701496196936</v>
      </c>
      <c r="AO226">
        <v>4.6803401149218899</v>
      </c>
      <c r="AP226">
        <v>4.7293256534279919</v>
      </c>
      <c r="AQ226">
        <v>5.0036728286974466</v>
      </c>
      <c r="AR226">
        <v>7.2939509251754373</v>
      </c>
      <c r="AS226">
        <v>9.6811808212518855</v>
      </c>
      <c r="AT226">
        <v>5.3752294642005438</v>
      </c>
      <c r="AU226">
        <v>4.0462365917944396</v>
      </c>
      <c r="AV226">
        <v>5.4460796457064191</v>
      </c>
      <c r="AW226">
        <v>5.9052985897318138</v>
      </c>
      <c r="AX226">
        <v>2.6465669119041877</v>
      </c>
      <c r="AY226">
        <v>2.8955394881845677</v>
      </c>
      <c r="AZ226">
        <v>1.1777275238739122</v>
      </c>
      <c r="BA226">
        <v>2.9853625083059256</v>
      </c>
      <c r="BB226">
        <v>-1.1225724418677743</v>
      </c>
      <c r="BC226">
        <v>0.47052855326970189</v>
      </c>
      <c r="BD226">
        <v>1.6197705120554247</v>
      </c>
      <c r="BE226">
        <v>1.3388823912712837</v>
      </c>
      <c r="BF226">
        <v>0.53406187029739272</v>
      </c>
      <c r="BG226">
        <v>-0.13260251884378249</v>
      </c>
      <c r="BH226">
        <v>-0.18569282768542905</v>
      </c>
      <c r="BI226">
        <v>-0.39090934238953423</v>
      </c>
      <c r="BJ226">
        <v>1.1818725837364781</v>
      </c>
      <c r="BK226">
        <v>2.1086483817274342</v>
      </c>
      <c r="BL226">
        <v>2.4012078364241916</v>
      </c>
      <c r="BM226">
        <v>2.4077795660855372</v>
      </c>
      <c r="BN226">
        <v>2.2438838156680276</v>
      </c>
      <c r="BO226">
        <v>7.4888990024714275</v>
      </c>
      <c r="BP226">
        <v>10.140100162562419</v>
      </c>
      <c r="BQ226">
        <v>3.6387653173428447</v>
      </c>
    </row>
    <row r="227" spans="1:69" hidden="1" x14ac:dyDescent="0.2">
      <c r="A227" t="s">
        <v>515</v>
      </c>
      <c r="B227" t="s">
        <v>516</v>
      </c>
      <c r="C227" t="s">
        <v>71</v>
      </c>
      <c r="D227" t="s">
        <v>72</v>
      </c>
      <c r="AJ227">
        <v>94.92778755412607</v>
      </c>
      <c r="AK227">
        <v>208.17782277308891</v>
      </c>
      <c r="AL227">
        <v>37.079119318646178</v>
      </c>
      <c r="AM227">
        <v>22.589236406677514</v>
      </c>
      <c r="AN227">
        <v>15.155058667175808</v>
      </c>
      <c r="AO227">
        <v>11.496642853524961</v>
      </c>
      <c r="AP227">
        <v>8.3005385125561162</v>
      </c>
      <c r="AQ227">
        <v>7.4142843095808928</v>
      </c>
      <c r="AR227">
        <v>6.5408594037937888</v>
      </c>
      <c r="AS227">
        <v>5.5360617536979788</v>
      </c>
      <c r="AT227">
        <v>8.7000081023216609</v>
      </c>
      <c r="AU227">
        <v>7.6198095969578787</v>
      </c>
      <c r="AV227">
        <v>5.6634577594436735</v>
      </c>
      <c r="AW227">
        <v>3.3581722770620104</v>
      </c>
      <c r="AX227">
        <v>1.5029969925607958</v>
      </c>
      <c r="AY227">
        <v>2.2236024840312325</v>
      </c>
      <c r="AZ227">
        <v>4.2002517371673775</v>
      </c>
      <c r="BA227">
        <v>4.5050148735517439</v>
      </c>
      <c r="BB227">
        <v>2.7328392838841751</v>
      </c>
      <c r="BC227">
        <v>-0.49146944460076725</v>
      </c>
      <c r="BD227">
        <v>1.3645204070481043</v>
      </c>
      <c r="BE227">
        <v>0.62661859082247418</v>
      </c>
      <c r="BF227">
        <v>1.132797187850727</v>
      </c>
      <c r="BG227">
        <v>0.63155145077948305</v>
      </c>
      <c r="BH227">
        <v>0.8671983193254249</v>
      </c>
      <c r="BI227">
        <v>0.88548243685633565</v>
      </c>
      <c r="BJ227">
        <v>1.2876310235731836</v>
      </c>
      <c r="BK227">
        <v>2.1809537030585346</v>
      </c>
      <c r="BL227">
        <v>2.3385865499996754</v>
      </c>
      <c r="BM227">
        <v>1.1895331828211511</v>
      </c>
      <c r="BN227">
        <v>2.6899631667349979</v>
      </c>
      <c r="BO227">
        <v>6.5171497829244771</v>
      </c>
      <c r="BP227">
        <v>10.050106677375297</v>
      </c>
      <c r="BQ227">
        <v>3.0775264598157435</v>
      </c>
    </row>
    <row r="228" spans="1:69" hidden="1" x14ac:dyDescent="0.2">
      <c r="A228" t="s">
        <v>517</v>
      </c>
      <c r="B228" t="s">
        <v>518</v>
      </c>
      <c r="C228" t="s">
        <v>71</v>
      </c>
      <c r="D228" t="s">
        <v>72</v>
      </c>
      <c r="F228">
        <v>2.9373783249284173</v>
      </c>
      <c r="G228">
        <v>4.0202670496899202</v>
      </c>
      <c r="H228">
        <v>2.7619012548343704</v>
      </c>
      <c r="I228">
        <v>4.3985324263706786</v>
      </c>
      <c r="J228">
        <v>5.9931402875761819</v>
      </c>
      <c r="K228">
        <v>6.5479810677161936</v>
      </c>
      <c r="L228">
        <v>5.0102391274105145</v>
      </c>
      <c r="M228">
        <v>2.3915183222982535</v>
      </c>
      <c r="N228">
        <v>3.4182109037655266</v>
      </c>
      <c r="O228">
        <v>5.1731077582846723</v>
      </c>
      <c r="P228">
        <v>7.1102880721169299</v>
      </c>
      <c r="Q228">
        <v>6.9731653844654033</v>
      </c>
      <c r="R228">
        <v>7.033770359864036</v>
      </c>
      <c r="S228">
        <v>9.4581467023544121</v>
      </c>
      <c r="T228">
        <v>14.512402002650077</v>
      </c>
      <c r="U228">
        <v>11.918966411710244</v>
      </c>
      <c r="V228">
        <v>10.529569209309301</v>
      </c>
      <c r="W228">
        <v>9.5490671008235921</v>
      </c>
      <c r="X228">
        <v>7.9432081384262148</v>
      </c>
      <c r="Y228">
        <v>11.716509912437829</v>
      </c>
      <c r="Z228">
        <v>8.7673421887779739</v>
      </c>
      <c r="AA228">
        <v>8.0846053557264099</v>
      </c>
      <c r="AB228">
        <v>9.9540620264626511</v>
      </c>
      <c r="AC228">
        <v>7.6359820728088721</v>
      </c>
      <c r="AD228">
        <v>6.4045068277001462</v>
      </c>
      <c r="AE228">
        <v>6.3227232363166479</v>
      </c>
      <c r="AF228">
        <v>4.7209491977953917</v>
      </c>
      <c r="AG228">
        <v>6.5712063600313968</v>
      </c>
      <c r="AH228">
        <v>7.9246668822585207</v>
      </c>
      <c r="AI228">
        <v>9.4738207142230948</v>
      </c>
      <c r="AJ228">
        <v>8.246788898365736</v>
      </c>
      <c r="AK228">
        <v>1.0153412022423396</v>
      </c>
      <c r="AL228">
        <v>2.2122711141157509</v>
      </c>
      <c r="AM228">
        <v>2.5024217670393227</v>
      </c>
      <c r="AN228">
        <v>3.7049289934082594</v>
      </c>
      <c r="AO228">
        <v>1.0523502533562805</v>
      </c>
      <c r="AP228">
        <v>1.4985811916637317</v>
      </c>
      <c r="AQ228">
        <v>0.86707220403594931</v>
      </c>
      <c r="AR228">
        <v>1.0039134605297306</v>
      </c>
      <c r="AS228">
        <v>1.5719373265552576</v>
      </c>
      <c r="AT228">
        <v>2.5897694402832911</v>
      </c>
      <c r="AU228">
        <v>1.623471902640631</v>
      </c>
      <c r="AV228">
        <v>1.8478562757821493</v>
      </c>
      <c r="AW228">
        <v>0.4146352816988923</v>
      </c>
      <c r="AX228">
        <v>0.76445277981559911</v>
      </c>
      <c r="AY228">
        <v>1.7460730756458247</v>
      </c>
      <c r="AZ228">
        <v>2.9241281808250648</v>
      </c>
      <c r="BA228">
        <v>3.3615932789564198</v>
      </c>
      <c r="BB228">
        <v>2.3589002061907678</v>
      </c>
      <c r="BC228">
        <v>1.0302594764930433</v>
      </c>
      <c r="BD228">
        <v>1.1173000714126431</v>
      </c>
      <c r="BE228">
        <v>0.94951793371885174</v>
      </c>
      <c r="BF228">
        <v>1.0116475046422408</v>
      </c>
      <c r="BG228">
        <v>1.8327069269892888</v>
      </c>
      <c r="BH228">
        <v>2.2534323144363384</v>
      </c>
      <c r="BI228">
        <v>1.6520200092533059</v>
      </c>
      <c r="BJ228">
        <v>2.2265513355027338</v>
      </c>
      <c r="BK228">
        <v>2.6161202108793589</v>
      </c>
      <c r="BL228">
        <v>2.4206500576107146</v>
      </c>
      <c r="BM228">
        <v>1.7936629062850216</v>
      </c>
      <c r="BN228">
        <v>2.7406333290656875</v>
      </c>
      <c r="BO228">
        <v>5.7819371566640001</v>
      </c>
      <c r="BP228">
        <v>6.0361342189605267</v>
      </c>
      <c r="BQ228">
        <v>2.7877286504605365</v>
      </c>
    </row>
    <row r="229" spans="1:69" hidden="1" x14ac:dyDescent="0.2">
      <c r="A229" t="s">
        <v>519</v>
      </c>
      <c r="B229" t="s">
        <v>520</v>
      </c>
      <c r="C229" t="s">
        <v>71</v>
      </c>
      <c r="D229" t="s">
        <v>72</v>
      </c>
      <c r="P229">
        <v>7.124844169785078</v>
      </c>
      <c r="Q229">
        <v>9.6272650229449539</v>
      </c>
      <c r="R229">
        <v>25.230676555837789</v>
      </c>
      <c r="S229">
        <v>10.28894548220525</v>
      </c>
      <c r="T229">
        <v>4.2137318840232325</v>
      </c>
      <c r="U229">
        <v>13.570278387581851</v>
      </c>
      <c r="V229">
        <v>10.446125187684757</v>
      </c>
      <c r="W229">
        <v>10.559958496141178</v>
      </c>
      <c r="X229">
        <v>13.587705373298363</v>
      </c>
      <c r="Y229">
        <v>8.2095377830854659</v>
      </c>
      <c r="Z229">
        <v>3.5103445334524679</v>
      </c>
      <c r="AA229">
        <v>15.179685561105345</v>
      </c>
      <c r="AB229">
        <v>4.7369214352144979</v>
      </c>
      <c r="AC229">
        <v>11.064966628993702</v>
      </c>
      <c r="AD229">
        <v>5.9873722723695408</v>
      </c>
      <c r="AE229">
        <v>13.916576908552543</v>
      </c>
      <c r="AF229">
        <v>1.1131169557029352</v>
      </c>
      <c r="AG229">
        <v>24.132609490613333</v>
      </c>
      <c r="AH229">
        <v>2.8917372508082906</v>
      </c>
      <c r="AI229">
        <v>30.38490737964247</v>
      </c>
      <c r="AJ229">
        <v>8.7777502974518455</v>
      </c>
      <c r="AK229">
        <v>11.188250506507714</v>
      </c>
      <c r="AL229">
        <v>17.389759289478405</v>
      </c>
      <c r="AM229">
        <v>10.970426564385804</v>
      </c>
      <c r="AN229">
        <v>16.649380868980273</v>
      </c>
      <c r="AO229">
        <v>7.6823650020016174</v>
      </c>
      <c r="AP229">
        <v>11.344841286407998</v>
      </c>
      <c r="AQ229">
        <v>7.405277885283823</v>
      </c>
      <c r="AR229">
        <v>5.3700590908128021</v>
      </c>
      <c r="AS229">
        <v>25.342941865012207</v>
      </c>
      <c r="AT229">
        <v>8.9426191620529494</v>
      </c>
      <c r="AU229">
        <v>8.9149284688432999</v>
      </c>
      <c r="AV229">
        <v>6.0054954849956914</v>
      </c>
      <c r="AW229">
        <v>3.8712879721592799</v>
      </c>
      <c r="AX229">
        <v>6.5568231923926135</v>
      </c>
      <c r="AY229">
        <v>4.0411618501624957</v>
      </c>
      <c r="AZ229">
        <v>5.0142979592022812</v>
      </c>
      <c r="BA229">
        <v>10.425576064865567</v>
      </c>
      <c r="BB229">
        <v>9.7699243126837985</v>
      </c>
      <c r="BC229">
        <v>3.1971753503888607</v>
      </c>
      <c r="BD229">
        <v>5.3409452823164116</v>
      </c>
      <c r="BE229">
        <v>8.7483734259075447</v>
      </c>
      <c r="BF229">
        <v>3.4551789353903359</v>
      </c>
      <c r="BG229">
        <v>6.3771735376116965</v>
      </c>
      <c r="BH229">
        <v>4.9763342848900578</v>
      </c>
      <c r="BI229">
        <v>5.0278273957741675</v>
      </c>
      <c r="BJ229">
        <v>7.05080780958194</v>
      </c>
      <c r="BK229">
        <v>3.0938295929665145</v>
      </c>
      <c r="BL229">
        <v>2.2788856898102523</v>
      </c>
      <c r="BM229">
        <v>4.7120634294742558</v>
      </c>
      <c r="BN229">
        <v>0.78389168398611275</v>
      </c>
      <c r="BO229">
        <v>8.4356278085165712</v>
      </c>
      <c r="BP229">
        <v>5.8756999832351227</v>
      </c>
      <c r="BQ229">
        <v>2.7530337352427807</v>
      </c>
    </row>
    <row r="230" spans="1:69" hidden="1" x14ac:dyDescent="0.2">
      <c r="A230" t="s">
        <v>521</v>
      </c>
      <c r="B230" t="s">
        <v>522</v>
      </c>
      <c r="C230" t="s">
        <v>71</v>
      </c>
      <c r="D230" t="s">
        <v>72</v>
      </c>
      <c r="BC230">
        <v>1.1287590302338373</v>
      </c>
      <c r="BD230">
        <v>0.29501587794524653</v>
      </c>
      <c r="BE230">
        <v>3.8730965087597156</v>
      </c>
      <c r="BF230">
        <v>2.4186759001645299</v>
      </c>
      <c r="BG230">
        <v>31.060507117467495</v>
      </c>
      <c r="BH230">
        <v>4.0077851821110215</v>
      </c>
      <c r="BI230">
        <v>-0.32084461200018666</v>
      </c>
      <c r="BJ230">
        <v>2.5558175701486192</v>
      </c>
      <c r="BK230">
        <v>-9.6963578940687967E-2</v>
      </c>
      <c r="BL230">
        <v>0.75924092300378732</v>
      </c>
      <c r="BM230">
        <v>1.3136816607912465</v>
      </c>
      <c r="BN230">
        <v>4.643698667901262</v>
      </c>
      <c r="BO230">
        <v>3.4608361177980811</v>
      </c>
      <c r="BP230">
        <v>2.0231213872832257</v>
      </c>
      <c r="BQ230">
        <v>2.9951690821256278</v>
      </c>
    </row>
    <row r="231" spans="1:69" hidden="1" x14ac:dyDescent="0.2">
      <c r="A231" t="s">
        <v>523</v>
      </c>
      <c r="B231" t="s">
        <v>524</v>
      </c>
      <c r="C231" t="s">
        <v>71</v>
      </c>
      <c r="D231" t="s">
        <v>72</v>
      </c>
      <c r="F231">
        <v>1.4569028820281318</v>
      </c>
      <c r="G231">
        <v>0.59902060428144921</v>
      </c>
      <c r="H231">
        <v>-2.4629491319814178E-3</v>
      </c>
      <c r="I231">
        <v>4.3795845446058053</v>
      </c>
      <c r="J231">
        <v>2.45082023923473</v>
      </c>
      <c r="K231">
        <v>-7.4742655762174479</v>
      </c>
      <c r="L231">
        <v>2.0392460708239071</v>
      </c>
      <c r="M231">
        <v>3.3980702065630912</v>
      </c>
      <c r="N231">
        <v>2.3516237402015747</v>
      </c>
      <c r="O231">
        <v>2.9053795828947813</v>
      </c>
      <c r="P231">
        <v>1.5744303353305753</v>
      </c>
      <c r="Q231">
        <v>27.711217940400019</v>
      </c>
      <c r="R231">
        <v>12.548073989270293</v>
      </c>
      <c r="S231">
        <v>20.93436716584192</v>
      </c>
      <c r="T231">
        <v>13.507236427750598</v>
      </c>
      <c r="U231">
        <v>9.1341704840533424</v>
      </c>
      <c r="V231">
        <v>43.805247691915241</v>
      </c>
      <c r="W231">
        <v>-0.45523946562848039</v>
      </c>
      <c r="X231">
        <v>17.009968367018843</v>
      </c>
      <c r="Y231">
        <v>31.035921486176306</v>
      </c>
      <c r="Z231">
        <v>7.3466517834808656</v>
      </c>
      <c r="AA231">
        <v>1.7261243345081141</v>
      </c>
      <c r="AB231">
        <v>3.1870046590708512</v>
      </c>
      <c r="AC231">
        <v>3.1332451227357012</v>
      </c>
      <c r="AD231">
        <v>2.2794112337051047</v>
      </c>
      <c r="AE231">
        <v>5.7466776945033473</v>
      </c>
      <c r="AF231">
        <v>3.6738233718652111</v>
      </c>
      <c r="AG231">
        <v>3.9287525479433612</v>
      </c>
      <c r="AH231">
        <v>2.1257659138576059</v>
      </c>
      <c r="AI231">
        <v>6.3701774856541533</v>
      </c>
      <c r="AJ231">
        <v>-2.043156685796248</v>
      </c>
      <c r="AK231">
        <v>4.6682552599228302</v>
      </c>
      <c r="AL231">
        <v>3.0283126877492634</v>
      </c>
      <c r="AM231">
        <v>2.6560335930587655</v>
      </c>
      <c r="AN231">
        <v>-2.072930383361907</v>
      </c>
      <c r="AO231">
        <v>-6.0802671556372161</v>
      </c>
      <c r="AP231">
        <v>0.87465560820790245</v>
      </c>
      <c r="AQ231">
        <v>10.41178364451541</v>
      </c>
      <c r="AR231">
        <v>2.0566347441652653</v>
      </c>
      <c r="AS231">
        <v>1.2519451512374076</v>
      </c>
      <c r="AT231">
        <v>6.1567615854863504</v>
      </c>
      <c r="AU231">
        <v>3.6131613542673904</v>
      </c>
      <c r="AV231">
        <v>5.9468347893234466</v>
      </c>
      <c r="AW231">
        <v>24.674119952403998</v>
      </c>
      <c r="AX231">
        <v>0.45864511054863044</v>
      </c>
      <c r="AY231">
        <v>1.4423444477168061</v>
      </c>
      <c r="AZ231">
        <v>11.079395686120137</v>
      </c>
      <c r="BA231">
        <v>31.926316024995174</v>
      </c>
      <c r="BB231">
        <v>28.181963581291598</v>
      </c>
      <c r="BC231">
        <v>-2.1197104463201555</v>
      </c>
      <c r="BD231">
        <v>1.0643813812327068</v>
      </c>
      <c r="BE231">
        <v>10.437283876569751</v>
      </c>
      <c r="BF231">
        <v>5.6402315183768934</v>
      </c>
      <c r="BG231">
        <v>6.435871632306231</v>
      </c>
      <c r="BH231">
        <v>-1.0031864187135824</v>
      </c>
      <c r="BI231">
        <v>-2.2945684688887269</v>
      </c>
      <c r="BJ231">
        <v>2.3324904875971555</v>
      </c>
      <c r="BK231">
        <v>3.4473819658778666</v>
      </c>
      <c r="BL231">
        <v>0.12695023860962351</v>
      </c>
      <c r="BM231">
        <v>5.2304285853831374</v>
      </c>
      <c r="BN231">
        <v>2.7500599380233695</v>
      </c>
      <c r="BO231">
        <v>1.5698964559434927</v>
      </c>
      <c r="BP231">
        <v>4.0893491121985193</v>
      </c>
      <c r="BQ231">
        <v>-0.74478000912961306</v>
      </c>
    </row>
    <row r="232" spans="1:69" hidden="1" x14ac:dyDescent="0.2">
      <c r="A232" t="s">
        <v>525</v>
      </c>
      <c r="B232" t="s">
        <v>526</v>
      </c>
      <c r="C232" t="s">
        <v>71</v>
      </c>
      <c r="D232" t="s">
        <v>72</v>
      </c>
      <c r="F232">
        <v>-0.56543183003910258</v>
      </c>
      <c r="G232">
        <v>-2.7477508238523711</v>
      </c>
      <c r="H232">
        <v>22.501192110624714</v>
      </c>
      <c r="I232">
        <v>2.1154269131669992</v>
      </c>
      <c r="J232">
        <v>-2.952053090072809</v>
      </c>
      <c r="K232">
        <v>7.5909129904308656</v>
      </c>
      <c r="L232">
        <v>0.93773145895963239</v>
      </c>
      <c r="M232">
        <v>4.32359578317309</v>
      </c>
      <c r="N232">
        <v>-3.1753068312621622</v>
      </c>
      <c r="O232">
        <v>0.89496529333834474</v>
      </c>
      <c r="P232">
        <v>8.1523145570705964</v>
      </c>
      <c r="Q232">
        <v>-8.3541262921259829</v>
      </c>
      <c r="R232">
        <v>19.355953014850584</v>
      </c>
      <c r="S232">
        <v>27.733624916706589</v>
      </c>
      <c r="T232">
        <v>11.72219380099078</v>
      </c>
      <c r="U232">
        <v>6.9371925008164794</v>
      </c>
      <c r="V232">
        <v>11.255860813970969</v>
      </c>
      <c r="W232">
        <v>9.0583083028582081</v>
      </c>
      <c r="X232">
        <v>19.271855817196041</v>
      </c>
      <c r="Y232">
        <v>14.882020116728327</v>
      </c>
      <c r="Z232">
        <v>19.061658377275876</v>
      </c>
      <c r="AA232">
        <v>1.7399719374211315</v>
      </c>
      <c r="AB232">
        <v>4.1300292629697708</v>
      </c>
      <c r="AC232">
        <v>11.266516783241315</v>
      </c>
      <c r="AD232">
        <v>1.017046224465858</v>
      </c>
      <c r="AE232">
        <v>30.450319651993539</v>
      </c>
      <c r="AF232">
        <v>25.683276830967671</v>
      </c>
      <c r="AG232">
        <v>23.443423949844956</v>
      </c>
      <c r="AH232">
        <v>30.023881236707865</v>
      </c>
      <c r="AI232">
        <v>23.822566397385401</v>
      </c>
      <c r="AJ232">
        <v>7.8451975316286848</v>
      </c>
      <c r="AK232">
        <v>5.5819405550841168</v>
      </c>
      <c r="AL232">
        <v>4.8838998363137449</v>
      </c>
      <c r="AM232">
        <v>14.089683049808684</v>
      </c>
      <c r="AN232">
        <v>5.4115528550942429</v>
      </c>
      <c r="AO232">
        <v>10.171079688646543</v>
      </c>
      <c r="AP232">
        <v>2.7571222493304219</v>
      </c>
      <c r="AQ232">
        <v>-0.71771258681474137</v>
      </c>
      <c r="AR232">
        <v>7.4421967726855769</v>
      </c>
      <c r="AS232">
        <v>9.7009859698300289</v>
      </c>
      <c r="AT232">
        <v>6.5541184360084372</v>
      </c>
      <c r="AU232">
        <v>0.39412432535841901</v>
      </c>
      <c r="AV232">
        <v>-1.430640218417949</v>
      </c>
      <c r="AW232">
        <v>10.326371239865153</v>
      </c>
      <c r="AX232">
        <v>11.950448970805326</v>
      </c>
      <c r="AY232">
        <v>9.0965063238064374</v>
      </c>
      <c r="AZ232">
        <v>10.769064374043495</v>
      </c>
      <c r="BA232">
        <v>15.950125977090295</v>
      </c>
      <c r="BB232">
        <v>-2.7802230393940306</v>
      </c>
      <c r="BC232">
        <v>6.8992650940543001</v>
      </c>
      <c r="BD232">
        <v>11.574077815584658</v>
      </c>
      <c r="BE232">
        <v>26.246255248555059</v>
      </c>
      <c r="BF232">
        <v>31.770193909529297</v>
      </c>
      <c r="BG232">
        <v>37.094584034508671</v>
      </c>
      <c r="BH232">
        <v>38.214547748764403</v>
      </c>
      <c r="BI232">
        <v>36.871041558711283</v>
      </c>
      <c r="BJ232">
        <v>37.220938223232082</v>
      </c>
      <c r="BK232">
        <v>13.187940283029604</v>
      </c>
      <c r="BL232">
        <v>19.831354010022423</v>
      </c>
      <c r="BM232">
        <v>61.586414289026294</v>
      </c>
      <c r="BN232">
        <v>118.27408632612651</v>
      </c>
      <c r="BO232">
        <v>112.14365352307988</v>
      </c>
      <c r="BP232">
        <v>120.3234367682561</v>
      </c>
    </row>
    <row r="233" spans="1:69" hidden="1" x14ac:dyDescent="0.2">
      <c r="A233" t="s">
        <v>527</v>
      </c>
      <c r="B233" t="s">
        <v>528</v>
      </c>
      <c r="C233" t="s">
        <v>71</v>
      </c>
      <c r="D233" t="s">
        <v>72</v>
      </c>
      <c r="BA233">
        <v>3.0104559742579369</v>
      </c>
      <c r="BB233">
        <v>1.318226637775382</v>
      </c>
      <c r="BC233">
        <v>-3.2831569587928868</v>
      </c>
      <c r="BD233">
        <v>1.4291812417556002</v>
      </c>
      <c r="BE233">
        <v>2.5099640284676781</v>
      </c>
      <c r="BF233">
        <v>2.6246719516554151</v>
      </c>
      <c r="BG233">
        <v>2.6536144371741983</v>
      </c>
      <c r="BH233">
        <v>0.54785769405403073</v>
      </c>
      <c r="BI233">
        <v>2.1843981606476177</v>
      </c>
      <c r="BJ233">
        <v>1.551873127409749</v>
      </c>
      <c r="BK233">
        <v>-32.740557433010721</v>
      </c>
      <c r="BL233">
        <v>-0.57740042977087569</v>
      </c>
      <c r="BM233">
        <v>1.1526088645879611</v>
      </c>
      <c r="BN233">
        <v>3.8605348589993298</v>
      </c>
      <c r="BO233">
        <v>1.6643854038641592</v>
      </c>
      <c r="BP233">
        <v>0.46675715870409817</v>
      </c>
      <c r="BQ233">
        <v>0.82939462515849982</v>
      </c>
    </row>
    <row r="234" spans="1:69" hidden="1" x14ac:dyDescent="0.2">
      <c r="A234" t="s">
        <v>529</v>
      </c>
      <c r="B234" t="s">
        <v>530</v>
      </c>
      <c r="C234" t="s">
        <v>71</v>
      </c>
      <c r="D234" t="s">
        <v>72</v>
      </c>
      <c r="F234">
        <v>5.0628279006880206</v>
      </c>
      <c r="G234">
        <v>1.5345799604160106</v>
      </c>
      <c r="H234">
        <v>5.6420649793482482</v>
      </c>
      <c r="I234">
        <v>8.2312516729030563</v>
      </c>
      <c r="J234">
        <v>5.6657016330485135</v>
      </c>
      <c r="K234">
        <v>5.982875145102895</v>
      </c>
      <c r="L234">
        <v>3.2792879190753723</v>
      </c>
      <c r="M234">
        <v>2.0314649389574697</v>
      </c>
      <c r="N234">
        <v>2.0673398274803532</v>
      </c>
      <c r="O234">
        <v>3.8595520809135024</v>
      </c>
      <c r="P234">
        <v>8.9917487748691087</v>
      </c>
      <c r="Q234">
        <v>5.553683675971044</v>
      </c>
      <c r="R234">
        <v>6.7135942987543729</v>
      </c>
      <c r="S234">
        <v>3.7356934960461388</v>
      </c>
      <c r="T234">
        <v>8.2207005141062552</v>
      </c>
      <c r="U234">
        <v>8.4495254785245066</v>
      </c>
      <c r="V234">
        <v>8.6180194441723472</v>
      </c>
      <c r="W234">
        <v>9.8997757115278944</v>
      </c>
      <c r="X234">
        <v>8.1897579708032993</v>
      </c>
      <c r="Y234">
        <v>8.7349044358084882</v>
      </c>
      <c r="Z234">
        <v>8.054758283710342</v>
      </c>
      <c r="AA234">
        <v>9.2207836482538283</v>
      </c>
      <c r="AB234">
        <v>1.2126945829749047E-2</v>
      </c>
      <c r="AC234">
        <v>24.06635313417533</v>
      </c>
      <c r="AD234">
        <v>-5.1131948290588412</v>
      </c>
      <c r="AE234">
        <v>-16.932826082526034</v>
      </c>
      <c r="AF234">
        <v>-3.1330818098774671</v>
      </c>
      <c r="AG234">
        <v>9.361930410172107</v>
      </c>
      <c r="AH234">
        <v>-1.2526106495417935</v>
      </c>
      <c r="AI234">
        <v>8.0123290348854255</v>
      </c>
      <c r="AJ234">
        <v>3.0734989661166594</v>
      </c>
      <c r="AK234">
        <v>-12.906553829435822</v>
      </c>
      <c r="AL234">
        <v>-1.3146037189080175</v>
      </c>
      <c r="AM234">
        <v>43.544963773358518</v>
      </c>
      <c r="AN234">
        <v>8.8331272664583906</v>
      </c>
      <c r="AO234">
        <v>11.458454950831637</v>
      </c>
      <c r="AP234">
        <v>3.7827854649936938</v>
      </c>
      <c r="AQ234">
        <v>6.7494088290043948</v>
      </c>
      <c r="AR234">
        <v>-7.5728662846646557</v>
      </c>
      <c r="AS234">
        <v>5.2898048599025174</v>
      </c>
      <c r="AT234">
        <v>13.797652751767231</v>
      </c>
      <c r="AU234">
        <v>1.9078194401242143</v>
      </c>
      <c r="AV234">
        <v>7.9004692091189099E-2</v>
      </c>
      <c r="AW234">
        <v>9.7342564798663176</v>
      </c>
      <c r="AX234">
        <v>66.772721551355573</v>
      </c>
      <c r="AY234">
        <v>11.728133307585509</v>
      </c>
      <c r="AZ234">
        <v>-1.7566623855189505</v>
      </c>
      <c r="BA234">
        <v>11.334623135749993</v>
      </c>
      <c r="BB234">
        <v>-1.6498179486251416</v>
      </c>
      <c r="BC234">
        <v>5.5230900273457877</v>
      </c>
      <c r="BD234">
        <v>8.1141685317789296</v>
      </c>
      <c r="BE234">
        <v>6.5335393901355019</v>
      </c>
      <c r="BF234">
        <v>-6.0455970057936668</v>
      </c>
      <c r="BG234">
        <v>-0.51972227401518012</v>
      </c>
      <c r="BH234">
        <v>-6.9981247804309419</v>
      </c>
      <c r="BI234">
        <v>-6.45706332382467</v>
      </c>
      <c r="BJ234">
        <v>2.0731531933710698</v>
      </c>
      <c r="BK234">
        <v>3.8689922436167876</v>
      </c>
      <c r="BL234">
        <v>-2.6613109422719674</v>
      </c>
      <c r="BM234">
        <v>-1.1776816050661836</v>
      </c>
      <c r="BN234">
        <v>8.5328872611399476</v>
      </c>
      <c r="BO234">
        <v>5.2836314330748024</v>
      </c>
      <c r="BP234">
        <v>9.9744910545666698E-2</v>
      </c>
      <c r="BQ234">
        <v>4.1003472847068707</v>
      </c>
    </row>
    <row r="235" spans="1:69" hidden="1" x14ac:dyDescent="0.2">
      <c r="A235" t="s">
        <v>531</v>
      </c>
      <c r="B235" t="s">
        <v>532</v>
      </c>
      <c r="C235" t="s">
        <v>71</v>
      </c>
      <c r="D235" t="s">
        <v>72</v>
      </c>
      <c r="P235">
        <v>4.4091755614137611</v>
      </c>
      <c r="Q235">
        <v>6.8233712174828156</v>
      </c>
      <c r="R235">
        <v>11.844660311201281</v>
      </c>
      <c r="S235">
        <v>14.622640539099763</v>
      </c>
      <c r="T235">
        <v>9.4609893667691836</v>
      </c>
      <c r="U235">
        <v>8.3762001237148311</v>
      </c>
      <c r="V235">
        <v>7.7189110288166773</v>
      </c>
      <c r="W235">
        <v>7.3091945752534713</v>
      </c>
      <c r="X235">
        <v>10.247664128746592</v>
      </c>
      <c r="Y235">
        <v>10.849056656850479</v>
      </c>
      <c r="Z235">
        <v>8.4775118538302294</v>
      </c>
      <c r="AA235">
        <v>7.684235469828856</v>
      </c>
      <c r="AB235">
        <v>7.4750600957112852</v>
      </c>
      <c r="AC235">
        <v>4.8604494218556695</v>
      </c>
      <c r="AD235">
        <v>3.6857773206755411</v>
      </c>
      <c r="AE235">
        <v>3.8658762387297472</v>
      </c>
      <c r="AF235">
        <v>7.8191573554070004</v>
      </c>
      <c r="AG235">
        <v>7.9621184997287529</v>
      </c>
      <c r="AH235">
        <v>6.9764198602735092</v>
      </c>
      <c r="AI235">
        <v>8.5032197799196823</v>
      </c>
      <c r="AJ235">
        <v>7.2456743440609159</v>
      </c>
      <c r="AK235">
        <v>7.4475069650786594</v>
      </c>
      <c r="AL235">
        <v>6.4906547671218959</v>
      </c>
      <c r="AM235">
        <v>7.2530884824223421</v>
      </c>
      <c r="AN235">
        <v>5.1504147092705068</v>
      </c>
      <c r="AO235">
        <v>4.5900509449284783</v>
      </c>
      <c r="AP235">
        <v>5.9513075158205311</v>
      </c>
      <c r="AQ235">
        <v>5.6425347909236052</v>
      </c>
      <c r="AR235">
        <v>6.1214526604288295</v>
      </c>
      <c r="AS235">
        <v>2.9988959117718679</v>
      </c>
      <c r="AT235">
        <v>4.0207168783268372</v>
      </c>
      <c r="AU235">
        <v>4.2310918137205817</v>
      </c>
      <c r="AV235">
        <v>5.4874291379014721</v>
      </c>
      <c r="AW235">
        <v>5.0006189940769588</v>
      </c>
      <c r="AX235">
        <v>6.6451859814478809</v>
      </c>
      <c r="AY235">
        <v>5.1115866629503728</v>
      </c>
      <c r="AZ235">
        <v>5.7769601471734973</v>
      </c>
      <c r="BA235">
        <v>7.8565864646320591</v>
      </c>
      <c r="BB235">
        <v>1.8267036840065742</v>
      </c>
      <c r="BC235">
        <v>4.3708843644488837</v>
      </c>
      <c r="BD235">
        <v>5.4124080900796798</v>
      </c>
      <c r="BE235">
        <v>3.7538787532365347</v>
      </c>
      <c r="BF235">
        <v>2.8690452471251007</v>
      </c>
      <c r="BG235">
        <v>3.0530553008590573</v>
      </c>
      <c r="BH235">
        <v>2.5308980469022799</v>
      </c>
      <c r="BI235">
        <v>2.4389240868820679</v>
      </c>
      <c r="BJ235">
        <v>2.9791831862185489</v>
      </c>
      <c r="BK235">
        <v>3.7406538302207082</v>
      </c>
      <c r="BL235">
        <v>1.3155065070298519</v>
      </c>
      <c r="BM235">
        <v>1.2236092399405152</v>
      </c>
      <c r="BN235">
        <v>4.4738613207888847</v>
      </c>
      <c r="BO235">
        <v>5.4886482020200873</v>
      </c>
      <c r="BP235">
        <v>6.0787933881826177</v>
      </c>
      <c r="BQ235">
        <v>4.1702763505420108</v>
      </c>
    </row>
    <row r="236" spans="1:69" hidden="1" x14ac:dyDescent="0.2">
      <c r="A236" t="s">
        <v>533</v>
      </c>
      <c r="B236" t="s">
        <v>534</v>
      </c>
      <c r="C236" t="s">
        <v>71</v>
      </c>
      <c r="D236" t="s">
        <v>72</v>
      </c>
      <c r="AJ236">
        <v>96.229680796745171</v>
      </c>
      <c r="AK236">
        <v>887.57172249624432</v>
      </c>
      <c r="AL236">
        <v>973.27761779668742</v>
      </c>
      <c r="AM236">
        <v>269.72630276799839</v>
      </c>
      <c r="AN236">
        <v>139.9812430201624</v>
      </c>
      <c r="AO236">
        <v>43.030270500922711</v>
      </c>
      <c r="AP236">
        <v>17.735994494583693</v>
      </c>
      <c r="AQ236">
        <v>10.873054248921633</v>
      </c>
      <c r="AR236">
        <v>18.14272250393109</v>
      </c>
      <c r="AS236">
        <v>25.313143120510539</v>
      </c>
      <c r="AT236">
        <v>10.178674256282072</v>
      </c>
      <c r="AU236">
        <v>5.5284826874792401</v>
      </c>
      <c r="AV236">
        <v>8.2425569788367028</v>
      </c>
      <c r="AW236">
        <v>8.2811753226976563</v>
      </c>
      <c r="AX236">
        <v>7.5318626200936407</v>
      </c>
      <c r="AY236">
        <v>10.356769943969105</v>
      </c>
      <c r="AZ236">
        <v>11.96206695537326</v>
      </c>
      <c r="BA236">
        <v>10.819240490234669</v>
      </c>
      <c r="BB236">
        <v>3.8876483854856332</v>
      </c>
      <c r="BC236">
        <v>7.0092836025974066</v>
      </c>
      <c r="BD236">
        <v>8.200847093306507</v>
      </c>
      <c r="BE236">
        <v>4.7855698106675391</v>
      </c>
      <c r="BF236">
        <v>3.1751881360427205</v>
      </c>
      <c r="BG236">
        <v>2.3091824299097397</v>
      </c>
      <c r="BH236">
        <v>2.2195729326273295</v>
      </c>
      <c r="BI236">
        <v>2.844222698026428</v>
      </c>
      <c r="BJ236">
        <v>4.8131213122434247</v>
      </c>
      <c r="BK236">
        <v>3.4474451158925632</v>
      </c>
      <c r="BL236">
        <v>3.6586839501312056</v>
      </c>
      <c r="BM236">
        <v>2.6493593974983014</v>
      </c>
      <c r="BN236">
        <v>6.9005136578715707</v>
      </c>
      <c r="BO236">
        <v>12.091962457631155</v>
      </c>
      <c r="BP236">
        <v>8.0467621512889593</v>
      </c>
      <c r="BQ236">
        <v>5.2272574195020809</v>
      </c>
    </row>
    <row r="237" spans="1:69" hidden="1" x14ac:dyDescent="0.2">
      <c r="A237" t="s">
        <v>535</v>
      </c>
      <c r="B237" t="s">
        <v>536</v>
      </c>
      <c r="C237" t="s">
        <v>71</v>
      </c>
      <c r="D237" t="s">
        <v>72</v>
      </c>
      <c r="F237">
        <v>-6.9468299869679271</v>
      </c>
      <c r="G237">
        <v>0.71547663625935343</v>
      </c>
      <c r="H237">
        <v>3.174916399188362</v>
      </c>
      <c r="I237">
        <v>1.4598387236419086</v>
      </c>
      <c r="J237">
        <v>-2.3240724826356569</v>
      </c>
      <c r="K237">
        <v>5.7377585991534801</v>
      </c>
      <c r="L237">
        <v>1.7480893762443515</v>
      </c>
      <c r="M237">
        <v>6.0945426090782462E-2</v>
      </c>
      <c r="N237">
        <v>4.8385609957494466</v>
      </c>
      <c r="O237">
        <v>-1.6212504081999128</v>
      </c>
      <c r="P237">
        <v>12.393236853516299</v>
      </c>
      <c r="Q237">
        <v>-0.37235268811443234</v>
      </c>
      <c r="R237">
        <v>3.1343741681765209</v>
      </c>
      <c r="S237">
        <v>42.032080706571463</v>
      </c>
      <c r="T237">
        <v>-4.2638352537877751</v>
      </c>
      <c r="U237">
        <v>14.210014101349429</v>
      </c>
      <c r="V237">
        <v>20.657405684515481</v>
      </c>
      <c r="W237">
        <v>-12.304186537694719</v>
      </c>
      <c r="X237">
        <v>7.5469987413526951</v>
      </c>
      <c r="Y237">
        <v>10.465726579563636</v>
      </c>
      <c r="Z237">
        <v>12.647422275063263</v>
      </c>
      <c r="AA237">
        <v>7.0867578969809699</v>
      </c>
      <c r="AB237">
        <v>14.260123715280855</v>
      </c>
      <c r="AC237">
        <v>1.879445299308145</v>
      </c>
      <c r="AD237">
        <v>3.4014373508540814</v>
      </c>
      <c r="AE237">
        <v>5.5947999370858241</v>
      </c>
      <c r="AF237">
        <v>1.6588416792576481</v>
      </c>
      <c r="AG237">
        <v>2.585776452651217</v>
      </c>
      <c r="AH237">
        <v>0.99235454344008645</v>
      </c>
      <c r="AI237">
        <v>2.9759444425783386</v>
      </c>
      <c r="AJ237">
        <v>2.6710928264541849</v>
      </c>
      <c r="AK237">
        <v>3.2454346043962801</v>
      </c>
      <c r="AL237">
        <v>-8.1967735093461158</v>
      </c>
      <c r="AM237">
        <v>35.842381371126578</v>
      </c>
      <c r="AN237">
        <v>11.084210356764387</v>
      </c>
      <c r="AO237">
        <v>5.3879278063591016</v>
      </c>
      <c r="AP237">
        <v>2.0360345459732798</v>
      </c>
      <c r="AQ237">
        <v>9.5566324733789259</v>
      </c>
      <c r="AR237">
        <v>1.1151271938944802</v>
      </c>
      <c r="AS237">
        <v>10.04945674614612</v>
      </c>
      <c r="AT237">
        <v>1.6340534742071782</v>
      </c>
      <c r="AU237">
        <v>5.0278555656566795</v>
      </c>
      <c r="AV237">
        <v>-2.8931069880374451</v>
      </c>
      <c r="AW237">
        <v>-1.9078889731758863</v>
      </c>
      <c r="AX237">
        <v>5.8761577662289142</v>
      </c>
      <c r="AY237">
        <v>-0.50876323297812576</v>
      </c>
      <c r="AZ237">
        <v>4.9637921684834794</v>
      </c>
      <c r="BA237">
        <v>9.0741989083010282</v>
      </c>
      <c r="BB237">
        <v>3.1172299612733525</v>
      </c>
      <c r="BC237">
        <v>-9.3335994725009641E-2</v>
      </c>
      <c r="BD237">
        <v>2.819595063636342</v>
      </c>
      <c r="BE237">
        <v>1.7503925297466481</v>
      </c>
      <c r="BF237">
        <v>1.6832759006320259</v>
      </c>
      <c r="BG237">
        <v>0.47987577384314761</v>
      </c>
      <c r="BH237">
        <v>2.2027112726141098</v>
      </c>
      <c r="BI237">
        <v>1.4577647542323575</v>
      </c>
      <c r="BJ237">
        <v>-0.88495153357762035</v>
      </c>
      <c r="BK237">
        <v>0.45426222251138881</v>
      </c>
      <c r="BL237">
        <v>1.1943543959390013E-2</v>
      </c>
      <c r="BM237">
        <v>1.93311361980237</v>
      </c>
      <c r="BN237">
        <v>2.4663674639664919</v>
      </c>
      <c r="BO237">
        <v>4.1558131507886742</v>
      </c>
      <c r="BP237">
        <v>2.5945652988366845</v>
      </c>
      <c r="BQ237">
        <v>2.7411282151670378</v>
      </c>
    </row>
    <row r="238" spans="1:69" hidden="1" x14ac:dyDescent="0.2">
      <c r="A238" t="s">
        <v>537</v>
      </c>
      <c r="B238" t="s">
        <v>538</v>
      </c>
      <c r="C238" t="s">
        <v>71</v>
      </c>
      <c r="D238" t="s">
        <v>72</v>
      </c>
      <c r="F238">
        <v>3.6986325101190545</v>
      </c>
      <c r="G238">
        <v>0.5404992905575341</v>
      </c>
      <c r="H238">
        <v>-1.1667368121456434</v>
      </c>
      <c r="I238">
        <v>2.6777834596897634</v>
      </c>
      <c r="J238">
        <v>4.3165726730202749</v>
      </c>
      <c r="K238">
        <v>8.2453287252076279</v>
      </c>
      <c r="L238">
        <v>-1.6676926249448627</v>
      </c>
      <c r="M238">
        <v>-0.25298551200324937</v>
      </c>
      <c r="N238">
        <v>3.3333699378438553</v>
      </c>
      <c r="O238">
        <v>-4.9951986079479411</v>
      </c>
      <c r="P238">
        <v>-0.78632329442100968</v>
      </c>
      <c r="Q238">
        <v>6.3369355132298182</v>
      </c>
      <c r="R238">
        <v>18.445642950644682</v>
      </c>
      <c r="S238">
        <v>20.334692369158674</v>
      </c>
      <c r="T238">
        <v>3.4880234284685656</v>
      </c>
      <c r="U238">
        <v>4.4970851672351273</v>
      </c>
      <c r="V238">
        <v>6.0146987113359529</v>
      </c>
      <c r="W238">
        <v>9.6971827155184229</v>
      </c>
      <c r="X238">
        <v>8.6455774659963964</v>
      </c>
      <c r="Y238">
        <v>12.702482790509833</v>
      </c>
      <c r="Z238">
        <v>8.3724225743514182</v>
      </c>
      <c r="AA238">
        <v>5.0578546442461345</v>
      </c>
      <c r="AB238">
        <v>3.6491556533808023</v>
      </c>
      <c r="AC238">
        <v>1.4478665785963898</v>
      </c>
      <c r="AD238">
        <v>2.1772027675002477</v>
      </c>
      <c r="AE238">
        <v>1.6531553058300972</v>
      </c>
      <c r="AF238">
        <v>4.7232135131412463</v>
      </c>
      <c r="AG238">
        <v>5.9183965488826402</v>
      </c>
      <c r="AH238">
        <v>6.1167430870732886</v>
      </c>
      <c r="AI238">
        <v>5.7731821624428221</v>
      </c>
      <c r="AJ238">
        <v>5.74652378137894</v>
      </c>
      <c r="AK238">
        <v>4.4904541312546371</v>
      </c>
      <c r="AL238">
        <v>6.4906547671218959</v>
      </c>
      <c r="AM238">
        <v>4.6727635464799846</v>
      </c>
      <c r="AN238">
        <v>5.7402361456272217</v>
      </c>
      <c r="AO238">
        <v>4.0981409238428625</v>
      </c>
      <c r="AP238">
        <v>4.421168366326782</v>
      </c>
      <c r="AQ238">
        <v>8.0637104569703411</v>
      </c>
      <c r="AR238">
        <v>-2.5769529776167701</v>
      </c>
      <c r="AS238">
        <v>1.3310499593202536</v>
      </c>
      <c r="AT238">
        <v>1.917532244930527</v>
      </c>
      <c r="AU238">
        <v>1.6904580560415354</v>
      </c>
      <c r="AV238">
        <v>2.1495490160916972</v>
      </c>
      <c r="AW238">
        <v>3.5692594260299728</v>
      </c>
      <c r="AX238">
        <v>5.0915561830489509</v>
      </c>
      <c r="AY238">
        <v>5.104213273029103</v>
      </c>
      <c r="AZ238">
        <v>2.4733377418903615</v>
      </c>
      <c r="BA238">
        <v>5.1337803515996114</v>
      </c>
      <c r="BB238">
        <v>0.19477213095817092</v>
      </c>
      <c r="BC238">
        <v>4.0809892267374295</v>
      </c>
      <c r="BD238">
        <v>3.7430981204437046</v>
      </c>
      <c r="BE238">
        <v>1.9091444419967445</v>
      </c>
      <c r="BF238">
        <v>1.7787458923541664</v>
      </c>
      <c r="BG238">
        <v>1.441465365280294</v>
      </c>
      <c r="BH238">
        <v>0.72211357341251414</v>
      </c>
      <c r="BI238">
        <v>2.6361676199892798</v>
      </c>
      <c r="BJ238">
        <v>1.8999449899776977</v>
      </c>
      <c r="BK238">
        <v>1.4285861642072746</v>
      </c>
      <c r="BL238">
        <v>1.0144234064249673</v>
      </c>
      <c r="BM238">
        <v>-1.2987750574158099</v>
      </c>
      <c r="BN238">
        <v>1.7746919298433141</v>
      </c>
      <c r="BO238">
        <v>4.6595523378654633</v>
      </c>
      <c r="BP238">
        <v>1.2749216984249614</v>
      </c>
      <c r="BQ238">
        <v>0.92741272504746064</v>
      </c>
    </row>
    <row r="239" spans="1:69" hidden="1" x14ac:dyDescent="0.2">
      <c r="A239" t="s">
        <v>539</v>
      </c>
      <c r="B239" t="s">
        <v>540</v>
      </c>
      <c r="C239" t="s">
        <v>71</v>
      </c>
      <c r="D239" t="s">
        <v>72</v>
      </c>
      <c r="AE239">
        <v>-4.0290015735531597</v>
      </c>
      <c r="AF239">
        <v>5.8229957260811886</v>
      </c>
      <c r="AG239">
        <v>-2.5744153913054078</v>
      </c>
      <c r="AH239">
        <v>7.2627790227431461</v>
      </c>
      <c r="AI239">
        <v>6.2899129991866261</v>
      </c>
      <c r="AJ239">
        <v>99.633511090898253</v>
      </c>
      <c r="AK239">
        <v>574.01451122796425</v>
      </c>
      <c r="AL239">
        <v>1207.2110489488982</v>
      </c>
      <c r="AM239">
        <v>263.01147806415537</v>
      </c>
      <c r="AN239">
        <v>294.53076561863315</v>
      </c>
      <c r="AO239">
        <v>430.41272819818778</v>
      </c>
      <c r="AP239">
        <v>65.251200190119107</v>
      </c>
      <c r="AQ239">
        <v>87.87634815500337</v>
      </c>
      <c r="AR239">
        <v>26.50114375140609</v>
      </c>
      <c r="AS239">
        <v>22.631873605947959</v>
      </c>
      <c r="AT239">
        <v>30.947706315930986</v>
      </c>
      <c r="AU239">
        <v>18.81970261470687</v>
      </c>
      <c r="AV239">
        <v>27.086468911730861</v>
      </c>
      <c r="AW239">
        <v>17.431578521081079</v>
      </c>
      <c r="AX239">
        <v>9.5143246621006483</v>
      </c>
      <c r="AY239">
        <v>21.06243886832857</v>
      </c>
      <c r="AZ239">
        <v>27.238003094103618</v>
      </c>
      <c r="BA239">
        <v>28.163487560191101</v>
      </c>
      <c r="BB239">
        <v>12.126201494193452</v>
      </c>
      <c r="BC239">
        <v>12.461667734970931</v>
      </c>
      <c r="BD239">
        <v>13.32435556931469</v>
      </c>
      <c r="BE239">
        <v>11.868515588829325</v>
      </c>
      <c r="BF239">
        <v>3.6330094505449608</v>
      </c>
      <c r="BG239">
        <v>4.7666613583367052</v>
      </c>
      <c r="BH239">
        <v>6.8662509497970063</v>
      </c>
      <c r="BI239">
        <v>0.54138975684499258</v>
      </c>
      <c r="BJ239">
        <v>9.8054671408426657</v>
      </c>
      <c r="BK239">
        <v>2.4922275564845791</v>
      </c>
      <c r="BL239">
        <v>3.6586839501312056</v>
      </c>
      <c r="BM239">
        <v>1.655960104696149</v>
      </c>
      <c r="BN239">
        <v>10.044509554915365</v>
      </c>
      <c r="BO239">
        <v>8.2622728147574378</v>
      </c>
      <c r="BP239">
        <v>3.7435663876838561</v>
      </c>
      <c r="BQ239">
        <v>6.57674364312264</v>
      </c>
    </row>
    <row r="240" spans="1:69" hidden="1" x14ac:dyDescent="0.2">
      <c r="A240" t="s">
        <v>541</v>
      </c>
      <c r="B240" t="s">
        <v>542</v>
      </c>
      <c r="C240" t="s">
        <v>71</v>
      </c>
      <c r="D240" t="s">
        <v>72</v>
      </c>
      <c r="AG240">
        <v>-2.7234043673764745</v>
      </c>
      <c r="AH240">
        <v>8.3127576065952411</v>
      </c>
      <c r="AI240">
        <v>-20.860356129365115</v>
      </c>
      <c r="AJ240">
        <v>106.16091966058141</v>
      </c>
      <c r="AK240">
        <v>3089.1525499191557</v>
      </c>
      <c r="AL240">
        <v>1133.9901456688358</v>
      </c>
      <c r="AM240">
        <v>952.30714966894197</v>
      </c>
      <c r="AN240">
        <v>705.71848258062232</v>
      </c>
      <c r="AO240">
        <v>1014.0116158198343</v>
      </c>
      <c r="AP240">
        <v>61.80004410613256</v>
      </c>
      <c r="AQ240">
        <v>17.616803319545298</v>
      </c>
      <c r="AR240">
        <v>23.005304387068406</v>
      </c>
      <c r="AS240">
        <v>23.464548193683683</v>
      </c>
      <c r="AT240">
        <v>32.314862741274879</v>
      </c>
      <c r="AU240">
        <v>25.153100148565088</v>
      </c>
      <c r="AV240">
        <v>27.154329864902493</v>
      </c>
      <c r="AW240">
        <v>18.347763821434768</v>
      </c>
      <c r="AX240">
        <v>7.0267908425900742</v>
      </c>
      <c r="AY240">
        <v>12.249959293056008</v>
      </c>
      <c r="AZ240">
        <v>9.2693446540198323</v>
      </c>
      <c r="BA240">
        <v>59.74038554683716</v>
      </c>
      <c r="BB240">
        <v>9.7610161350929872</v>
      </c>
      <c r="BC240">
        <v>2.3060881533174324</v>
      </c>
      <c r="BD240">
        <v>12.857454367120354</v>
      </c>
      <c r="BE240">
        <v>8.2700840824187338</v>
      </c>
      <c r="BF240">
        <v>1.1524458325214511</v>
      </c>
      <c r="BG240">
        <v>0.66918096675007632</v>
      </c>
      <c r="BH240">
        <v>-5.1532977875220638</v>
      </c>
      <c r="BI240">
        <v>-4.8656028790311439</v>
      </c>
      <c r="BJ240">
        <v>-1.5424426847865931</v>
      </c>
      <c r="BK240">
        <v>1.2108759401387346</v>
      </c>
      <c r="BL240">
        <v>4.3827522684997575</v>
      </c>
      <c r="BM240">
        <v>-4.3497418075767058</v>
      </c>
      <c r="BN240">
        <v>2.771780009982038</v>
      </c>
      <c r="BO240">
        <v>11.041882829850252</v>
      </c>
      <c r="BP240">
        <v>-3.283712711253699</v>
      </c>
      <c r="BQ240">
        <v>3.6101123867779705</v>
      </c>
    </row>
    <row r="241" spans="1:69" hidden="1" x14ac:dyDescent="0.2">
      <c r="A241" t="s">
        <v>543</v>
      </c>
      <c r="B241" t="s">
        <v>544</v>
      </c>
      <c r="C241" t="s">
        <v>71</v>
      </c>
      <c r="D241" t="s">
        <v>72</v>
      </c>
      <c r="F241">
        <v>2.8028111832581075</v>
      </c>
      <c r="G241">
        <v>3.0301826326870582</v>
      </c>
      <c r="H241">
        <v>3.4563610463440355</v>
      </c>
      <c r="I241">
        <v>4.1846287934176374</v>
      </c>
      <c r="J241">
        <v>2.3623121208141455</v>
      </c>
      <c r="K241">
        <v>3.5936408271235507</v>
      </c>
      <c r="L241">
        <v>3.1462219825836186</v>
      </c>
      <c r="M241">
        <v>3.0227182895498999</v>
      </c>
      <c r="N241">
        <v>3.3343124063336518</v>
      </c>
      <c r="O241">
        <v>4.2728669075012462</v>
      </c>
      <c r="P241">
        <v>5.2241373648498879</v>
      </c>
      <c r="Q241">
        <v>6.8343527266714332</v>
      </c>
      <c r="R241">
        <v>15.752314743952532</v>
      </c>
      <c r="S241">
        <v>24.48233740257637</v>
      </c>
      <c r="T241">
        <v>16.229944320708967</v>
      </c>
      <c r="U241">
        <v>9.9638580317001129</v>
      </c>
      <c r="V241">
        <v>14.250119617541543</v>
      </c>
      <c r="W241">
        <v>9.0186625852158642</v>
      </c>
      <c r="X241">
        <v>15.370143416774638</v>
      </c>
      <c r="Y241">
        <v>20.449444802466623</v>
      </c>
      <c r="Z241">
        <v>11.420050426599587</v>
      </c>
      <c r="AA241">
        <v>7.436987913068279</v>
      </c>
      <c r="AB241">
        <v>7.4969568435769389</v>
      </c>
      <c r="AC241">
        <v>16.128259518439009</v>
      </c>
      <c r="AD241">
        <v>10.420210832766202</v>
      </c>
      <c r="AE241">
        <v>9.3872710775396087</v>
      </c>
      <c r="AF241">
        <v>10.14438326894971</v>
      </c>
      <c r="AG241">
        <v>12.726977225218491</v>
      </c>
      <c r="AH241">
        <v>12.129493242193561</v>
      </c>
      <c r="AI241">
        <v>22.55369983204784</v>
      </c>
      <c r="AJ241">
        <v>21.449616427425838</v>
      </c>
      <c r="AK241">
        <v>11.300743672812359</v>
      </c>
      <c r="AL241">
        <v>10.435572162094658</v>
      </c>
      <c r="AM241">
        <v>12.573370441994285</v>
      </c>
      <c r="AN241">
        <v>11.064162437778165</v>
      </c>
      <c r="AO241">
        <v>6.5817186106197738</v>
      </c>
      <c r="AP241">
        <v>4.9151547266676516</v>
      </c>
      <c r="AQ241">
        <v>5.3710903574295799</v>
      </c>
      <c r="AR241">
        <v>3.8829960652083031</v>
      </c>
      <c r="AS241">
        <v>5.6060651408573534</v>
      </c>
      <c r="AT241">
        <v>4.8266183326548742</v>
      </c>
      <c r="AU241">
        <v>3.4760208551481924</v>
      </c>
      <c r="AV241">
        <v>5.331077197509515</v>
      </c>
      <c r="AW241">
        <v>7.0247617066378609</v>
      </c>
      <c r="AX241">
        <v>6.6677249634657727</v>
      </c>
      <c r="AY241">
        <v>6.7742740876249172</v>
      </c>
      <c r="AZ241">
        <v>6.6255071682860063</v>
      </c>
      <c r="BA241">
        <v>8.7785527281753133</v>
      </c>
      <c r="BB241">
        <v>3.6001752730532814</v>
      </c>
      <c r="BC241">
        <v>5.5805973740208401</v>
      </c>
      <c r="BD241">
        <v>5.7961884720497494</v>
      </c>
      <c r="BE241">
        <v>4.5422149162793346</v>
      </c>
      <c r="BF241">
        <v>2.92309825170382</v>
      </c>
      <c r="BG241">
        <v>2.543646131824957</v>
      </c>
      <c r="BH241">
        <v>2.9030555267142901</v>
      </c>
      <c r="BI241">
        <v>2.67571807418269</v>
      </c>
      <c r="BJ241">
        <v>3.6435213819044634</v>
      </c>
      <c r="BK241">
        <v>2.0763633131995007</v>
      </c>
      <c r="BL241">
        <v>2.7644878384338156</v>
      </c>
      <c r="BM241">
        <v>1.8428230440808377</v>
      </c>
      <c r="BN241">
        <v>4.7625013348557061</v>
      </c>
      <c r="BO241">
        <v>7.016361339239424</v>
      </c>
      <c r="BP241">
        <v>3.9481206306984404</v>
      </c>
      <c r="BQ241">
        <v>4.2768366013094194</v>
      </c>
    </row>
    <row r="242" spans="1:69" hidden="1" x14ac:dyDescent="0.2">
      <c r="A242" t="s">
        <v>545</v>
      </c>
      <c r="B242" t="s">
        <v>546</v>
      </c>
      <c r="C242" t="s">
        <v>71</v>
      </c>
      <c r="D242" t="s">
        <v>72</v>
      </c>
      <c r="AJ242">
        <v>4.0621262356798269</v>
      </c>
      <c r="AK242">
        <v>15.155653655469024</v>
      </c>
      <c r="AL242">
        <v>4.7564748195096485</v>
      </c>
      <c r="AM242">
        <v>2.8729119937582368</v>
      </c>
      <c r="AN242">
        <v>3.0620084299612245</v>
      </c>
      <c r="AO242">
        <v>8.1600908527483966</v>
      </c>
      <c r="AP242">
        <v>0.23103420277725206</v>
      </c>
      <c r="AQ242">
        <v>3.8767788331696096</v>
      </c>
      <c r="AR242">
        <v>7.1852011523458401</v>
      </c>
      <c r="AS242">
        <v>2.9988959117718679</v>
      </c>
      <c r="AT242">
        <v>11.834028317428078</v>
      </c>
      <c r="AU242">
        <v>5.3920377111091256</v>
      </c>
      <c r="AV242">
        <v>6.8004417591580335</v>
      </c>
      <c r="AW242">
        <v>-10.485130804880299</v>
      </c>
      <c r="AX242">
        <v>1.8374771981894469</v>
      </c>
      <c r="AY242">
        <v>2.3805984519522383</v>
      </c>
      <c r="AZ242">
        <v>8.4775151844982162</v>
      </c>
      <c r="BA242">
        <v>7.2567638797885508</v>
      </c>
      <c r="BB242">
        <v>1.7651258761991073</v>
      </c>
      <c r="BC242">
        <v>10.963798950285437</v>
      </c>
      <c r="BD242">
        <v>11.565673274611399</v>
      </c>
      <c r="BE242">
        <v>6.1604670783707007</v>
      </c>
      <c r="BF242">
        <v>16.642768177043692</v>
      </c>
      <c r="BG242">
        <v>-0.72805110472585</v>
      </c>
      <c r="BH242">
        <v>7.202726567203527</v>
      </c>
      <c r="BI242">
        <v>0.14136707325886277</v>
      </c>
      <c r="BJ242">
        <v>-0.21279945542860901</v>
      </c>
      <c r="BK242">
        <v>-1.822951914507783</v>
      </c>
      <c r="BL242">
        <v>5.84673545520819</v>
      </c>
      <c r="BM242">
        <v>-19.371214064915392</v>
      </c>
      <c r="BN242">
        <v>59.15572946855977</v>
      </c>
      <c r="BO242">
        <v>11.398687134211457</v>
      </c>
      <c r="BP242">
        <v>-20.82669047906893</v>
      </c>
      <c r="BQ242">
        <v>-7.5265825618508302</v>
      </c>
    </row>
    <row r="243" spans="1:69" hidden="1" x14ac:dyDescent="0.2">
      <c r="A243" t="s">
        <v>547</v>
      </c>
      <c r="B243" t="s">
        <v>548</v>
      </c>
      <c r="C243" t="s">
        <v>71</v>
      </c>
      <c r="D243" t="s">
        <v>72</v>
      </c>
      <c r="F243">
        <v>1.3390917074509616</v>
      </c>
      <c r="G243">
        <v>1.2057006979135352</v>
      </c>
      <c r="H243">
        <v>0.73235150083469591</v>
      </c>
      <c r="I243">
        <v>2.5708504137471877</v>
      </c>
      <c r="J243">
        <v>2.3336070550573709</v>
      </c>
      <c r="K243">
        <v>2.9785313000112126</v>
      </c>
      <c r="L243">
        <v>2.8320132932880142</v>
      </c>
      <c r="M243">
        <v>1.329107871931086</v>
      </c>
      <c r="N243">
        <v>0.80631020465614256</v>
      </c>
      <c r="O243">
        <v>3.7083530222193417</v>
      </c>
      <c r="P243">
        <v>8.1523145570705964</v>
      </c>
      <c r="Q243">
        <v>2.8867235663544903</v>
      </c>
      <c r="R243">
        <v>9.6276116453118732</v>
      </c>
      <c r="S243">
        <v>27.733624916706589</v>
      </c>
      <c r="T243">
        <v>5.9140221098810315</v>
      </c>
      <c r="U243">
        <v>10.840592723972847</v>
      </c>
      <c r="V243">
        <v>11.013413672971033</v>
      </c>
      <c r="W243">
        <v>8.6997794872715843</v>
      </c>
      <c r="X243">
        <v>16.629846868061961</v>
      </c>
      <c r="Y243">
        <v>14.041885970153295</v>
      </c>
      <c r="Z243">
        <v>9.9936548045677611</v>
      </c>
      <c r="AA243">
        <v>6.9025327532005463</v>
      </c>
      <c r="AB243">
        <v>8.8501718475318185</v>
      </c>
      <c r="AC243">
        <v>8.3404790852679156</v>
      </c>
      <c r="AD243">
        <v>4.2947154675643731</v>
      </c>
      <c r="AE243">
        <v>5.506708667054184</v>
      </c>
      <c r="AF243">
        <v>9.368089890826937</v>
      </c>
      <c r="AG243">
        <v>9.3392620633910965</v>
      </c>
      <c r="AH243">
        <v>15.637318556669655</v>
      </c>
      <c r="AI243">
        <v>15.501848385603353</v>
      </c>
      <c r="AJ243">
        <v>12.742998684440757</v>
      </c>
      <c r="AK243">
        <v>11.686576553299268</v>
      </c>
      <c r="AL243">
        <v>8.6338292580096265</v>
      </c>
      <c r="AM243">
        <v>10.738643806467081</v>
      </c>
      <c r="AN243">
        <v>11.039373533590272</v>
      </c>
      <c r="AO243">
        <v>7.7406387215779375</v>
      </c>
      <c r="AP243">
        <v>10.978638125552898</v>
      </c>
      <c r="AQ243">
        <v>2.8246787328404039</v>
      </c>
      <c r="AR243">
        <v>6.6522414782460402</v>
      </c>
      <c r="AS243">
        <v>11.503924135048116</v>
      </c>
      <c r="AT243">
        <v>2.7482004537064881</v>
      </c>
      <c r="AU243">
        <v>3.9213785706568842</v>
      </c>
      <c r="AV243">
        <v>6.7774936061383926</v>
      </c>
      <c r="AW243">
        <v>11.271432057214852</v>
      </c>
      <c r="AX243">
        <v>10.912773550304806</v>
      </c>
      <c r="AY243">
        <v>9.0965063238064374</v>
      </c>
      <c r="AZ243">
        <v>10.331324591672811</v>
      </c>
      <c r="BA243">
        <v>15.117882165657477</v>
      </c>
      <c r="BB243">
        <v>-0.45255878055276355</v>
      </c>
      <c r="BC243">
        <v>10.106864629572115</v>
      </c>
      <c r="BD243">
        <v>16.410956267514436</v>
      </c>
      <c r="BE243">
        <v>7.3017564676043207</v>
      </c>
      <c r="BF243">
        <v>4.822785478769859</v>
      </c>
      <c r="BG243">
        <v>2.44784411266928</v>
      </c>
      <c r="BH243">
        <v>2.8102491555726417</v>
      </c>
      <c r="BI243">
        <v>0.94602359715596407</v>
      </c>
      <c r="BJ243">
        <v>4.3718158435747796</v>
      </c>
      <c r="BK243">
        <v>5.8435827324831422</v>
      </c>
      <c r="BL243">
        <v>5.3485762453453347</v>
      </c>
      <c r="BM243">
        <v>6.4913136371089877</v>
      </c>
      <c r="BN243">
        <v>13.099970835454002</v>
      </c>
      <c r="BO243">
        <v>18.444136922175538</v>
      </c>
      <c r="BP243">
        <v>4.6423055065676877</v>
      </c>
      <c r="BQ243">
        <v>7.2564163378132847</v>
      </c>
    </row>
    <row r="244" spans="1:69" hidden="1" x14ac:dyDescent="0.2">
      <c r="A244" t="s">
        <v>549</v>
      </c>
      <c r="B244" t="s">
        <v>550</v>
      </c>
      <c r="C244" t="s">
        <v>71</v>
      </c>
      <c r="D244" t="s">
        <v>72</v>
      </c>
      <c r="AA244">
        <v>7.8651663091366686</v>
      </c>
      <c r="AB244">
        <v>8.257059796751534</v>
      </c>
      <c r="AC244">
        <v>6.5143832713053627</v>
      </c>
      <c r="AD244">
        <v>10.236156436017652</v>
      </c>
      <c r="AE244">
        <v>16.170568280451164</v>
      </c>
      <c r="AF244">
        <v>11.01204474858848</v>
      </c>
      <c r="AG244">
        <v>9.0691837553423511</v>
      </c>
      <c r="AH244">
        <v>6.8051008927625816</v>
      </c>
      <c r="AI244">
        <v>12.247747384816805</v>
      </c>
      <c r="AJ244">
        <v>9.4612965629720804</v>
      </c>
      <c r="AK244">
        <v>7.4475069650786594</v>
      </c>
      <c r="AL244">
        <v>6.5768040541229311E-2</v>
      </c>
      <c r="AM244">
        <v>28.626012928516445</v>
      </c>
      <c r="AN244">
        <v>-3.422619146266058</v>
      </c>
      <c r="AO244">
        <v>2.9747816307043422</v>
      </c>
      <c r="AP244">
        <v>-0.11799204610476011</v>
      </c>
      <c r="AQ244">
        <v>2.827230783065346</v>
      </c>
      <c r="AR244">
        <v>7.8661189742437898</v>
      </c>
      <c r="AS244">
        <v>2.6397302226163504</v>
      </c>
      <c r="AT244">
        <v>4.0207168783268372</v>
      </c>
      <c r="AU244">
        <v>7.6193132646120461</v>
      </c>
      <c r="AV244">
        <v>11.399678588095611</v>
      </c>
      <c r="AW244">
        <v>8.4089758869794906</v>
      </c>
      <c r="AX244">
        <v>8.2522262581912855</v>
      </c>
      <c r="AY244">
        <v>18.243682895776786</v>
      </c>
      <c r="AZ244">
        <v>4.4067418002628642</v>
      </c>
      <c r="BA244">
        <v>4.4324490506316749</v>
      </c>
      <c r="BB244">
        <v>4.9088643183492735</v>
      </c>
      <c r="BC244">
        <v>7.7215855039798811</v>
      </c>
      <c r="BD244">
        <v>0.47522679158311121</v>
      </c>
      <c r="BE244">
        <v>4.2845978100641844</v>
      </c>
      <c r="BF244">
        <v>-2.2912576814982231</v>
      </c>
      <c r="BG244">
        <v>4.1538115450762803E-2</v>
      </c>
      <c r="BH244">
        <v>5.2019645893933699</v>
      </c>
      <c r="BI244">
        <v>2.9735530531128234</v>
      </c>
      <c r="BJ244">
        <v>5.5752843572795854</v>
      </c>
      <c r="BK244">
        <v>4.9373483744510338</v>
      </c>
      <c r="BL244">
        <v>4.7280006610313023</v>
      </c>
      <c r="BM244">
        <v>0.43844404761723865</v>
      </c>
      <c r="BN244">
        <v>2.4745619152062943</v>
      </c>
      <c r="BO244">
        <v>2.0780286261444587</v>
      </c>
      <c r="BP244">
        <v>-2.2481407668067277E-2</v>
      </c>
    </row>
    <row r="245" spans="1:69" hidden="1" x14ac:dyDescent="0.2">
      <c r="A245" t="s">
        <v>551</v>
      </c>
      <c r="B245" t="s">
        <v>552</v>
      </c>
      <c r="C245" t="s">
        <v>71</v>
      </c>
      <c r="D245" t="s">
        <v>72</v>
      </c>
      <c r="F245">
        <v>2.6879999899922353</v>
      </c>
      <c r="G245">
        <v>2.2139201126053294</v>
      </c>
      <c r="H245">
        <v>4.3669920428669045</v>
      </c>
      <c r="I245">
        <v>1.3967150676139468</v>
      </c>
      <c r="J245">
        <v>8.1160371821084567</v>
      </c>
      <c r="K245">
        <v>9.7834476963138925</v>
      </c>
      <c r="L245">
        <v>5.2275401346635704</v>
      </c>
      <c r="M245">
        <v>6.7406048944277543</v>
      </c>
      <c r="N245">
        <v>4.9535977088029597</v>
      </c>
      <c r="O245">
        <v>4.3052871601106375</v>
      </c>
      <c r="P245">
        <v>3.8153102341026965</v>
      </c>
      <c r="Q245">
        <v>7.4323968672630869</v>
      </c>
      <c r="R245">
        <v>12.883145750780599</v>
      </c>
      <c r="S245">
        <v>19.456743317940152</v>
      </c>
      <c r="T245">
        <v>2.6382543548928936</v>
      </c>
      <c r="U245">
        <v>3.2629508405992311</v>
      </c>
      <c r="V245">
        <v>-1.5996982621387943</v>
      </c>
      <c r="W245">
        <v>6.7945110393712227</v>
      </c>
      <c r="X245">
        <v>13.980901027929733</v>
      </c>
      <c r="Y245">
        <v>12.012749291324795</v>
      </c>
      <c r="Z245">
        <v>8.9160233597362222</v>
      </c>
      <c r="AA245">
        <v>8.721636387184688</v>
      </c>
      <c r="AB245">
        <v>8.5203077403102867</v>
      </c>
      <c r="AC245">
        <v>9.0434609207248329</v>
      </c>
      <c r="AD245">
        <v>6.8512000949872629</v>
      </c>
      <c r="AE245">
        <v>6.9874191642645087</v>
      </c>
      <c r="AF245">
        <v>10.223762237300932</v>
      </c>
      <c r="AG245">
        <v>9.1747747009467133</v>
      </c>
      <c r="AH245">
        <v>8.3873910594719874</v>
      </c>
      <c r="AI245">
        <v>8.6005195711730806</v>
      </c>
      <c r="AJ245">
        <v>11.584330686902518</v>
      </c>
      <c r="AK245">
        <v>9.1844292387717701</v>
      </c>
      <c r="AL245">
        <v>9.8730885826910679</v>
      </c>
      <c r="AM245">
        <v>9.0654675515766669</v>
      </c>
      <c r="AN245">
        <v>7.7146606422739907</v>
      </c>
      <c r="AO245">
        <v>7.9678341775510688</v>
      </c>
      <c r="AP245">
        <v>6.8776821185153025</v>
      </c>
      <c r="AQ245">
        <v>6.3731900432023636</v>
      </c>
      <c r="AR245">
        <v>3.9718694477488228</v>
      </c>
      <c r="AS245">
        <v>4.0587019393079089</v>
      </c>
      <c r="AT245">
        <v>8.1772394647405022</v>
      </c>
      <c r="AU245">
        <v>3.9138626666028458</v>
      </c>
      <c r="AV245">
        <v>3.7460522217965604</v>
      </c>
      <c r="AW245">
        <v>5.1437748038129385</v>
      </c>
      <c r="AX245">
        <v>6.2992964046643039</v>
      </c>
      <c r="AY245">
        <v>7.8804887482145745</v>
      </c>
      <c r="AZ245">
        <v>7.2738535965557034</v>
      </c>
      <c r="BA245">
        <v>8.5274678601573584</v>
      </c>
      <c r="BB245">
        <v>6.9023600582817579</v>
      </c>
      <c r="BC245">
        <v>9.4264966351065169</v>
      </c>
      <c r="BD245">
        <v>8.8068924137230482</v>
      </c>
      <c r="BE245">
        <v>8.0494805770879765</v>
      </c>
      <c r="BF245">
        <v>6.493897130868632</v>
      </c>
      <c r="BG245">
        <v>4.8972126562319431</v>
      </c>
      <c r="BH245">
        <v>3.8094113538705159</v>
      </c>
      <c r="BI245">
        <v>4.7460673561375089</v>
      </c>
      <c r="BJ245">
        <v>4.6986157703508908</v>
      </c>
      <c r="BK245">
        <v>4.0897732322698204</v>
      </c>
      <c r="BL245">
        <v>3.3830729628854286</v>
      </c>
      <c r="BM245">
        <v>3.5292328591457007</v>
      </c>
      <c r="BN245">
        <v>7.1953627969509881</v>
      </c>
      <c r="BO245">
        <v>5.8459985143545765</v>
      </c>
      <c r="BP245">
        <v>5.0615452827313803</v>
      </c>
      <c r="BQ245">
        <v>3.3287651951791162</v>
      </c>
    </row>
    <row r="246" spans="1:69" hidden="1" x14ac:dyDescent="0.2">
      <c r="A246" t="s">
        <v>553</v>
      </c>
      <c r="B246" t="s">
        <v>554</v>
      </c>
      <c r="C246" t="s">
        <v>71</v>
      </c>
      <c r="D246" t="s">
        <v>72</v>
      </c>
      <c r="F246">
        <v>3.1342547312386273</v>
      </c>
      <c r="G246">
        <v>1.6302468264628516</v>
      </c>
      <c r="H246">
        <v>3.0089253319856155</v>
      </c>
      <c r="I246">
        <v>3.7019603833053978</v>
      </c>
      <c r="J246">
        <v>2.837792728936023</v>
      </c>
      <c r="K246">
        <v>3.9285243967435761</v>
      </c>
      <c r="L246">
        <v>1.3329988673509661</v>
      </c>
      <c r="M246">
        <v>2.7122276471397413</v>
      </c>
      <c r="N246">
        <v>4.5398067822355443</v>
      </c>
      <c r="O246">
        <v>3.7850036465982839</v>
      </c>
      <c r="P246">
        <v>3.5141465593571652</v>
      </c>
      <c r="Q246">
        <v>5.565533865653272</v>
      </c>
      <c r="R246">
        <v>10.318872463254536</v>
      </c>
      <c r="S246">
        <v>14.489209069890798</v>
      </c>
      <c r="T246">
        <v>11.286974864321969</v>
      </c>
      <c r="U246">
        <v>10.109539702279655</v>
      </c>
      <c r="V246">
        <v>10.579939487056713</v>
      </c>
      <c r="W246">
        <v>8.8610306837418307</v>
      </c>
      <c r="X246">
        <v>11.455004116219023</v>
      </c>
      <c r="Y246">
        <v>12.864627339902981</v>
      </c>
      <c r="Z246">
        <v>10.625287024999359</v>
      </c>
      <c r="AA246">
        <v>10.839255801970793</v>
      </c>
      <c r="AB246">
        <v>10.817400274057803</v>
      </c>
      <c r="AC246">
        <v>11.717493387168503</v>
      </c>
      <c r="AD246">
        <v>8.9308300055906074</v>
      </c>
      <c r="AE246">
        <v>8.0225608926818239</v>
      </c>
      <c r="AF246">
        <v>9.3999479659881757</v>
      </c>
      <c r="AG246">
        <v>8.9579518663301769</v>
      </c>
      <c r="AH246">
        <v>9.7690093725366154</v>
      </c>
      <c r="AI246">
        <v>10.583630703260582</v>
      </c>
      <c r="AJ246">
        <v>8.5642790036469307</v>
      </c>
      <c r="AK246">
        <v>6.9612820070560915</v>
      </c>
      <c r="AL246">
        <v>11.297973858390549</v>
      </c>
      <c r="AM246">
        <v>23.249480847914896</v>
      </c>
      <c r="AN246">
        <v>11.043789851394052</v>
      </c>
      <c r="AO246">
        <v>9.0748348887851336</v>
      </c>
      <c r="AP246">
        <v>5.0553459310608559</v>
      </c>
      <c r="AQ246">
        <v>6.9635795165232679</v>
      </c>
      <c r="AR246">
        <v>7.6120782777759501</v>
      </c>
      <c r="AS246">
        <v>8.5066010783455965</v>
      </c>
      <c r="AT246">
        <v>6.2320125154731159</v>
      </c>
      <c r="AU246">
        <v>3.6131613542673904</v>
      </c>
      <c r="AV246">
        <v>5.9468347893234466</v>
      </c>
      <c r="AW246">
        <v>9.6003925600674194</v>
      </c>
      <c r="AX246">
        <v>7.3310479826829607</v>
      </c>
      <c r="AY246">
        <v>7.4613445396577731</v>
      </c>
      <c r="AZ246">
        <v>7.0997309934301569</v>
      </c>
      <c r="BA246">
        <v>10.425576064865567</v>
      </c>
      <c r="BB246">
        <v>3.3034042022756438</v>
      </c>
      <c r="BC246">
        <v>5.5803508327402014</v>
      </c>
      <c r="BD246">
        <v>8.7261063231163547</v>
      </c>
      <c r="BE246">
        <v>5.7972722122579086</v>
      </c>
      <c r="BF246">
        <v>3.8133483598161462</v>
      </c>
      <c r="BG246">
        <v>3.9841085638894</v>
      </c>
      <c r="BH246">
        <v>3.2928048367107579</v>
      </c>
      <c r="BI246">
        <v>4.3476963906937343</v>
      </c>
      <c r="BJ246">
        <v>4.805295287820222</v>
      </c>
      <c r="BK246">
        <v>3.9311436643556092</v>
      </c>
      <c r="BL246">
        <v>2.3292460034827442</v>
      </c>
      <c r="BM246">
        <v>4.2805626515774549</v>
      </c>
      <c r="BN246">
        <v>5.6304918539763875</v>
      </c>
      <c r="BO246">
        <v>8.1748969836740244</v>
      </c>
      <c r="BP246">
        <v>5.4727381368620982</v>
      </c>
      <c r="BQ246">
        <v>4.4026081440270417</v>
      </c>
    </row>
    <row r="247" spans="1:69" hidden="1" x14ac:dyDescent="0.2">
      <c r="A247" t="s">
        <v>555</v>
      </c>
      <c r="B247" t="s">
        <v>556</v>
      </c>
      <c r="C247" t="s">
        <v>71</v>
      </c>
      <c r="D247" t="s">
        <v>72</v>
      </c>
      <c r="F247">
        <v>-4.2401217199499257</v>
      </c>
      <c r="G247">
        <v>3.0475099500381475</v>
      </c>
      <c r="H247">
        <v>3.7010299059221836</v>
      </c>
      <c r="I247">
        <v>-2.4787737692012257</v>
      </c>
      <c r="J247">
        <v>2.7532248929641696</v>
      </c>
      <c r="K247">
        <v>-5.573031852676138</v>
      </c>
      <c r="L247">
        <v>4.6095236147895946</v>
      </c>
      <c r="M247">
        <v>8.9223753462352278</v>
      </c>
      <c r="N247">
        <v>-5.4271625935612633E-2</v>
      </c>
      <c r="O247">
        <v>1.8737166309878148</v>
      </c>
      <c r="P247">
        <v>6.6353624757951053</v>
      </c>
      <c r="Q247">
        <v>11.109922050944903</v>
      </c>
      <c r="R247">
        <v>21.182706880042417</v>
      </c>
      <c r="S247">
        <v>57.511668526681063</v>
      </c>
      <c r="T247">
        <v>24.571456644682058</v>
      </c>
      <c r="U247">
        <v>7.9956476549060511</v>
      </c>
      <c r="V247">
        <v>13.342294232175988</v>
      </c>
      <c r="W247">
        <v>3.1648206101302208</v>
      </c>
      <c r="X247">
        <v>24.707983230775568</v>
      </c>
      <c r="Y247">
        <v>22.737040976198244</v>
      </c>
      <c r="Z247">
        <v>7.2198144515987224</v>
      </c>
      <c r="AA247">
        <v>12.161946801504911</v>
      </c>
      <c r="AB247">
        <v>6.3246727796258</v>
      </c>
      <c r="AC247">
        <v>6.0107071410235875</v>
      </c>
      <c r="AD247">
        <v>1.2375980590459932</v>
      </c>
      <c r="AE247">
        <v>-1.2496691064488061</v>
      </c>
      <c r="AF247">
        <v>4.8526715819587452</v>
      </c>
      <c r="AG247">
        <v>4.15797138177156</v>
      </c>
      <c r="AH247">
        <v>7.1840103131334985</v>
      </c>
      <c r="AI247">
        <v>15.488886407828147</v>
      </c>
      <c r="AJ247">
        <v>1.5723916909613109</v>
      </c>
      <c r="AK247">
        <v>-6.9148572793612004</v>
      </c>
      <c r="AL247">
        <v>8.8117850226041838</v>
      </c>
      <c r="AM247">
        <v>13.267802451545904</v>
      </c>
      <c r="AN247">
        <v>4.169287874045537</v>
      </c>
      <c r="AO247">
        <v>1.8495432017300146</v>
      </c>
      <c r="AP247">
        <v>-3.5435676378260297</v>
      </c>
      <c r="AQ247">
        <v>-1.8564838789805691</v>
      </c>
      <c r="AR247">
        <v>4.3031818124770638</v>
      </c>
      <c r="AS247">
        <v>12.04315306427921</v>
      </c>
      <c r="AT247">
        <v>2.7939476347862211</v>
      </c>
      <c r="AU247">
        <v>-5.1925349166865686</v>
      </c>
      <c r="AV247">
        <v>10.478561428314066</v>
      </c>
      <c r="AW247">
        <v>8.884224704530169</v>
      </c>
      <c r="AX247">
        <v>13.321425716169159</v>
      </c>
      <c r="AY247">
        <v>1.7292126588432666</v>
      </c>
      <c r="AZ247">
        <v>12.751850287605109</v>
      </c>
      <c r="BA247">
        <v>23.792521003188966</v>
      </c>
      <c r="BB247">
        <v>-27.631792049927824</v>
      </c>
      <c r="BC247">
        <v>12.733336125746192</v>
      </c>
      <c r="BD247">
        <v>15.729703251458105</v>
      </c>
      <c r="BE247">
        <v>0.34546564587456885</v>
      </c>
      <c r="BF247">
        <v>2.0070236081267012</v>
      </c>
      <c r="BG247">
        <v>-0.99671364034166743</v>
      </c>
      <c r="BH247">
        <v>-8.8683989216688559</v>
      </c>
      <c r="BI247">
        <v>-0.60241774153261929</v>
      </c>
      <c r="BJ247">
        <v>7.8143786440737983</v>
      </c>
      <c r="BK247">
        <v>1.0386491522223764</v>
      </c>
      <c r="BL247">
        <v>-1.9615408429826999</v>
      </c>
      <c r="BM247">
        <v>-2.3588867875469219</v>
      </c>
      <c r="BN247">
        <v>16.366341463178813</v>
      </c>
      <c r="BO247">
        <v>16.583378938413901</v>
      </c>
      <c r="BP247">
        <v>-11.904412784525974</v>
      </c>
      <c r="BQ247">
        <v>1.9849878827189684</v>
      </c>
    </row>
    <row r="248" spans="1:69" hidden="1" x14ac:dyDescent="0.2">
      <c r="A248" t="s">
        <v>557</v>
      </c>
      <c r="B248" t="s">
        <v>558</v>
      </c>
      <c r="C248" t="s">
        <v>71</v>
      </c>
      <c r="D248" t="s">
        <v>72</v>
      </c>
      <c r="G248">
        <v>6.4895559210122968</v>
      </c>
      <c r="H248">
        <v>30.700427327676067</v>
      </c>
      <c r="I248">
        <v>11.36736840035897</v>
      </c>
      <c r="J248">
        <v>16.612062955120209</v>
      </c>
      <c r="K248">
        <v>1.5279015374199787</v>
      </c>
      <c r="L248">
        <v>4.1314480388222421</v>
      </c>
      <c r="M248">
        <v>1.329107871931086</v>
      </c>
      <c r="N248">
        <v>1.3807636599135975</v>
      </c>
      <c r="O248">
        <v>6.5992878862015658</v>
      </c>
      <c r="P248">
        <v>5.4833061735292574</v>
      </c>
      <c r="Q248">
        <v>2.8867235663544903</v>
      </c>
      <c r="R248">
        <v>8.5608033410993585</v>
      </c>
      <c r="S248">
        <v>24.394726086788523</v>
      </c>
      <c r="T248">
        <v>4.9945603416174009</v>
      </c>
      <c r="U248">
        <v>2.8975529255676804</v>
      </c>
      <c r="V248">
        <v>9.6533090916745152</v>
      </c>
      <c r="W248">
        <v>6.464929990554765</v>
      </c>
      <c r="X248">
        <v>10.387841206722342</v>
      </c>
      <c r="Y248">
        <v>12.798762445801131</v>
      </c>
      <c r="Z248">
        <v>11.410748009476748</v>
      </c>
      <c r="AA248">
        <v>16.007660517041472</v>
      </c>
      <c r="AB248">
        <v>12.700716400581683</v>
      </c>
      <c r="AC248">
        <v>6.9812027481690961</v>
      </c>
      <c r="AD248">
        <v>3.5971210413988643</v>
      </c>
      <c r="AE248">
        <v>3.5226678476433904</v>
      </c>
      <c r="AF248">
        <v>5.1707114798276876</v>
      </c>
      <c r="AG248">
        <v>7.7041939592454014</v>
      </c>
      <c r="AH248">
        <v>8.8292833073050332</v>
      </c>
      <c r="AI248">
        <v>4.4765044777072234</v>
      </c>
      <c r="AJ248">
        <v>7.0368020890458638</v>
      </c>
      <c r="AK248">
        <v>5.6915448649635749</v>
      </c>
      <c r="AL248">
        <v>4.6913433717174087</v>
      </c>
      <c r="AM248">
        <v>4.5260576663857393</v>
      </c>
      <c r="AN248">
        <v>5.3510954461247024</v>
      </c>
      <c r="AO248">
        <v>4.3565952490801436</v>
      </c>
      <c r="AP248">
        <v>14.125336532737137</v>
      </c>
      <c r="AQ248">
        <v>3.2716759764790169</v>
      </c>
      <c r="AR248">
        <v>3.3614189577862703</v>
      </c>
      <c r="AS248">
        <v>3.2835794115288621</v>
      </c>
      <c r="AT248">
        <v>3.9135776455732127</v>
      </c>
      <c r="AU248">
        <v>2.2848028326208407</v>
      </c>
      <c r="AV248">
        <v>2.6847562673991661</v>
      </c>
      <c r="AW248">
        <v>3.3516094601244077</v>
      </c>
      <c r="AX248">
        <v>4.1758360767102545</v>
      </c>
      <c r="AY248">
        <v>3.8338263865902178</v>
      </c>
      <c r="AZ248">
        <v>2.12647656280636</v>
      </c>
      <c r="BA248">
        <v>6.3403242522970515</v>
      </c>
      <c r="BB248">
        <v>3.023044970584948</v>
      </c>
      <c r="BC248">
        <v>9.4650245490015124</v>
      </c>
      <c r="BD248">
        <v>4.5711140603902862</v>
      </c>
      <c r="BE248">
        <v>4.6618107810305389</v>
      </c>
      <c r="BF248">
        <v>4.5002701897903847</v>
      </c>
      <c r="BG248">
        <v>4.6646604744981204</v>
      </c>
      <c r="BH248">
        <v>4.2138400764200981</v>
      </c>
      <c r="BI248">
        <v>4.9349636011048119</v>
      </c>
      <c r="BJ248">
        <v>4.7138856938937721</v>
      </c>
      <c r="BK248">
        <v>7.9246636701478792</v>
      </c>
      <c r="BL248">
        <v>7.1352122242428493</v>
      </c>
      <c r="BM248">
        <v>6.805693175738341</v>
      </c>
      <c r="BN248">
        <v>5.0993847995843424</v>
      </c>
      <c r="BO248">
        <v>3.2887269278926112</v>
      </c>
      <c r="BP248">
        <v>7.2716022816580619</v>
      </c>
      <c r="BQ248">
        <v>9.5561296993707145</v>
      </c>
    </row>
    <row r="249" spans="1:69" hidden="1" x14ac:dyDescent="0.2">
      <c r="A249" t="s">
        <v>559</v>
      </c>
      <c r="B249" t="s">
        <v>560</v>
      </c>
      <c r="C249" t="s">
        <v>71</v>
      </c>
      <c r="D249" t="s">
        <v>72</v>
      </c>
      <c r="F249">
        <v>4.3734004395956703</v>
      </c>
      <c r="G249">
        <v>5.788937790374348</v>
      </c>
      <c r="H249">
        <v>6.416694480291099</v>
      </c>
      <c r="I249">
        <v>2.3524365189915528</v>
      </c>
      <c r="J249">
        <v>4.117855660964878</v>
      </c>
      <c r="K249">
        <v>5.9475906735076762</v>
      </c>
      <c r="L249">
        <v>5.9398905266001094</v>
      </c>
      <c r="M249">
        <v>4.7601562438670726</v>
      </c>
      <c r="N249">
        <v>6.8763171028775929</v>
      </c>
      <c r="O249">
        <v>8.6445044466933609</v>
      </c>
      <c r="P249">
        <v>16.902087154494268</v>
      </c>
      <c r="Q249">
        <v>10.975676049010644</v>
      </c>
      <c r="R249">
        <v>21.93021870169764</v>
      </c>
      <c r="S249">
        <v>28.992347354604533</v>
      </c>
      <c r="T249">
        <v>21.309240068288759</v>
      </c>
      <c r="U249">
        <v>15.612657491485876</v>
      </c>
      <c r="V249">
        <v>24.08902324503515</v>
      </c>
      <c r="W249">
        <v>47.541146710241577</v>
      </c>
      <c r="X249">
        <v>76.72086671894013</v>
      </c>
      <c r="Y249">
        <v>93.003224791641372</v>
      </c>
      <c r="Z249">
        <v>44.057070496697861</v>
      </c>
      <c r="AA249">
        <v>28.226834400707673</v>
      </c>
      <c r="AB249">
        <v>26.258245416142628</v>
      </c>
      <c r="AC249">
        <v>48.23683260720756</v>
      </c>
      <c r="AD249">
        <v>53.054476874504957</v>
      </c>
      <c r="AE249">
        <v>36.006885550443172</v>
      </c>
      <c r="AF249">
        <v>33.612229033145809</v>
      </c>
      <c r="AG249">
        <v>69.018131110141695</v>
      </c>
      <c r="AH249">
        <v>75.404830612269649</v>
      </c>
      <c r="AI249">
        <v>58.244398106674566</v>
      </c>
      <c r="AJ249">
        <v>59.164106890933567</v>
      </c>
      <c r="AK249">
        <v>65.199438276979492</v>
      </c>
      <c r="AL249">
        <v>68.379428355981219</v>
      </c>
      <c r="AM249">
        <v>104.74913721512232</v>
      </c>
      <c r="AN249">
        <v>86.007542441816952</v>
      </c>
      <c r="AO249">
        <v>77.223512216706041</v>
      </c>
      <c r="AP249">
        <v>81.454862582061594</v>
      </c>
      <c r="AQ249">
        <v>143.63966161467295</v>
      </c>
      <c r="AR249">
        <v>54.279958304052144</v>
      </c>
      <c r="AS249">
        <v>49.360776243032376</v>
      </c>
      <c r="AT249">
        <v>52.979760680204322</v>
      </c>
      <c r="AU249">
        <v>37.574820831712117</v>
      </c>
      <c r="AV249">
        <v>23.289280989382206</v>
      </c>
      <c r="AW249">
        <v>12.427511075423951</v>
      </c>
      <c r="AX249">
        <v>7.0854161291639599</v>
      </c>
      <c r="AY249">
        <v>9.3762063635270749</v>
      </c>
      <c r="AZ249">
        <v>6.1997582025373958</v>
      </c>
      <c r="BA249">
        <v>12.04615359392804</v>
      </c>
      <c r="BB249">
        <v>5.4464491031988871</v>
      </c>
      <c r="BC249">
        <v>7.0092836025974066</v>
      </c>
      <c r="BD249">
        <v>8.200847093306507</v>
      </c>
      <c r="BE249">
        <v>7.4226732866055301</v>
      </c>
      <c r="BF249">
        <v>6.280109697081798</v>
      </c>
      <c r="BG249">
        <v>7.3895186377030342</v>
      </c>
      <c r="BH249">
        <v>7.8449169301026274</v>
      </c>
      <c r="BI249">
        <v>8.1304780781445061</v>
      </c>
      <c r="BJ249">
        <v>10.982421668328456</v>
      </c>
      <c r="BK249">
        <v>16.51227650993124</v>
      </c>
      <c r="BL249">
        <v>13.867756897046178</v>
      </c>
      <c r="BM249">
        <v>14.78934158934959</v>
      </c>
      <c r="BN249">
        <v>28.97300047655321</v>
      </c>
      <c r="BO249">
        <v>96.03619867008365</v>
      </c>
      <c r="BP249">
        <v>68.233934158098037</v>
      </c>
      <c r="BQ249">
        <v>58.484913180345387</v>
      </c>
    </row>
    <row r="250" spans="1:69" hidden="1" x14ac:dyDescent="0.2">
      <c r="A250" t="s">
        <v>561</v>
      </c>
      <c r="B250" t="s">
        <v>562</v>
      </c>
      <c r="C250" t="s">
        <v>71</v>
      </c>
      <c r="D250" t="s">
        <v>72</v>
      </c>
      <c r="P250">
        <v>6.7578527409702218</v>
      </c>
      <c r="Q250">
        <v>6.8233689677480953</v>
      </c>
      <c r="R250">
        <v>6.8642741593605763</v>
      </c>
      <c r="S250">
        <v>6.8245415197140602</v>
      </c>
      <c r="T250">
        <v>6.7203629325776433</v>
      </c>
      <c r="U250">
        <v>6.6495950474739516</v>
      </c>
      <c r="V250">
        <v>6.8942706213043721</v>
      </c>
      <c r="W250">
        <v>7.2482246227449707</v>
      </c>
      <c r="X250">
        <v>6.6881843210869079</v>
      </c>
      <c r="Y250">
        <v>6.1552528953532573</v>
      </c>
      <c r="Z250">
        <v>6.1406859937596039</v>
      </c>
      <c r="AA250">
        <v>8.1130895086637906</v>
      </c>
      <c r="AB250">
        <v>9.0712123679077479</v>
      </c>
      <c r="AC250">
        <v>3.7951706898578692</v>
      </c>
      <c r="AD250">
        <v>3.6601992108485035</v>
      </c>
      <c r="AE250">
        <v>5.938281607660528</v>
      </c>
      <c r="AF250">
        <v>3.3425778833431821</v>
      </c>
      <c r="AG250">
        <v>6.4537051677734638</v>
      </c>
      <c r="AH250">
        <v>9.892668729025786</v>
      </c>
      <c r="AI250">
        <v>2.0494187846098697</v>
      </c>
      <c r="AJ250">
        <v>2.6430716347989289</v>
      </c>
      <c r="AK250">
        <v>7.3440669291872496</v>
      </c>
      <c r="AL250">
        <v>2.54643474492336</v>
      </c>
      <c r="AM250">
        <v>-4.6649133413807675</v>
      </c>
      <c r="AN250">
        <v>5.1504147092705068</v>
      </c>
      <c r="AO250">
        <v>12.69226345508639</v>
      </c>
      <c r="AP250">
        <v>-1.3053523737627586</v>
      </c>
      <c r="AQ250">
        <v>2.7406467235295224</v>
      </c>
      <c r="AR250">
        <v>6.1214526604288295</v>
      </c>
      <c r="AS250">
        <v>14.453361698046592</v>
      </c>
      <c r="AT250">
        <v>3.8461538461538538</v>
      </c>
      <c r="AU250">
        <v>4.8309178743961354</v>
      </c>
      <c r="AV250">
        <v>1.1730205278592081</v>
      </c>
      <c r="AW250">
        <v>5.7364341085271349</v>
      </c>
      <c r="AX250">
        <v>1.4948859166011204</v>
      </c>
      <c r="AY250">
        <v>4.1269841269841407</v>
      </c>
      <c r="AZ250">
        <v>-0.8333333333333286</v>
      </c>
      <c r="BA250">
        <v>4.7794117647058698</v>
      </c>
      <c r="BB250">
        <v>1.0526315789473699</v>
      </c>
      <c r="BC250">
        <v>-0.56818181818181301</v>
      </c>
      <c r="BD250">
        <v>1.6413373860182219</v>
      </c>
      <c r="BE250">
        <v>2.1739130434782652</v>
      </c>
      <c r="BF250">
        <v>0.87719298245616528</v>
      </c>
      <c r="BG250">
        <v>7.5</v>
      </c>
      <c r="BH250">
        <v>3.2031592803861315</v>
      </c>
      <c r="BI250">
        <v>8.1632653061224545</v>
      </c>
      <c r="BJ250">
        <v>2.9699622283693401</v>
      </c>
      <c r="BK250">
        <v>7.2955935911499807</v>
      </c>
      <c r="BL250">
        <v>6.438743850904487</v>
      </c>
      <c r="BM250">
        <v>0.89082524431299248</v>
      </c>
      <c r="BN250">
        <v>4.6847657271167833</v>
      </c>
      <c r="BO250">
        <v>5.5475564798092734</v>
      </c>
      <c r="BP250">
        <v>6.0040987048762986</v>
      </c>
    </row>
    <row r="251" spans="1:69" hidden="1" x14ac:dyDescent="0.2">
      <c r="A251" t="s">
        <v>563</v>
      </c>
      <c r="B251" t="s">
        <v>564</v>
      </c>
      <c r="C251" t="s">
        <v>71</v>
      </c>
      <c r="D251" t="s">
        <v>72</v>
      </c>
      <c r="F251">
        <v>5.3791680609481318</v>
      </c>
      <c r="G251">
        <v>0.59419375894344739</v>
      </c>
      <c r="H251">
        <v>4.8799117298878798</v>
      </c>
      <c r="I251">
        <v>2.7902911001806245</v>
      </c>
      <c r="J251">
        <v>-2.4342903050844029</v>
      </c>
      <c r="K251">
        <v>2.7291227287334294</v>
      </c>
      <c r="L251">
        <v>-1.1834904153686665</v>
      </c>
      <c r="M251">
        <v>0.88983690863564391</v>
      </c>
      <c r="N251">
        <v>1.7240539879610992</v>
      </c>
      <c r="O251">
        <v>3.5204957462457287</v>
      </c>
      <c r="P251">
        <v>2.9705377104542379</v>
      </c>
      <c r="Q251">
        <v>6.2755375552101498</v>
      </c>
      <c r="R251">
        <v>10.445534801036402</v>
      </c>
      <c r="S251">
        <v>19.537365068980492</v>
      </c>
      <c r="T251">
        <v>14.303278637880766</v>
      </c>
      <c r="U251">
        <v>24.336120992600769</v>
      </c>
      <c r="V251">
        <v>18.160817390681231</v>
      </c>
      <c r="W251">
        <v>9.1599101928721893</v>
      </c>
      <c r="X251">
        <v>10.037571811689162</v>
      </c>
      <c r="Y251">
        <v>12.988319751640432</v>
      </c>
      <c r="Z251">
        <v>17.734391373849576</v>
      </c>
      <c r="AA251">
        <v>19.019313286865852</v>
      </c>
      <c r="AB251">
        <v>21.571501472072725</v>
      </c>
      <c r="AC251">
        <v>20.443525963188279</v>
      </c>
      <c r="AD251">
        <v>34.025414192288991</v>
      </c>
      <c r="AE251">
        <v>25.460139371303498</v>
      </c>
      <c r="AF251">
        <v>35.347569375484795</v>
      </c>
      <c r="AG251">
        <v>36.374289977287134</v>
      </c>
      <c r="AH251">
        <v>20.600743960077963</v>
      </c>
      <c r="AI251">
        <v>22.449185683890278</v>
      </c>
      <c r="AJ251">
        <v>28.112604357567278</v>
      </c>
      <c r="AK251">
        <v>25.375481122157055</v>
      </c>
      <c r="AL251">
        <v>24.461986330207324</v>
      </c>
      <c r="AM251">
        <v>31.169954274434019</v>
      </c>
      <c r="AN251">
        <v>26.86195135633244</v>
      </c>
      <c r="AO251">
        <v>19.313655840414668</v>
      </c>
      <c r="AP251">
        <v>20.587232147255349</v>
      </c>
      <c r="AQ251">
        <v>14.222113626203338</v>
      </c>
      <c r="AR251">
        <v>11.540000000019404</v>
      </c>
      <c r="AS251">
        <v>8.2011042471374225</v>
      </c>
      <c r="AT251">
        <v>4.8159692152744498</v>
      </c>
      <c r="AU251">
        <v>7.2330306793358972</v>
      </c>
      <c r="AV251">
        <v>8.4186826434214197</v>
      </c>
      <c r="AW251">
        <v>6.8856231304545759</v>
      </c>
      <c r="AX251">
        <v>6.4262025232485058</v>
      </c>
      <c r="AY251">
        <v>5.5100952874972364</v>
      </c>
      <c r="AZ251">
        <v>9.0993895275873768</v>
      </c>
      <c r="BA251">
        <v>16.380754629426562</v>
      </c>
      <c r="BB251">
        <v>9.0416624540597894</v>
      </c>
      <c r="BC251">
        <v>9.4287162529614932</v>
      </c>
      <c r="BD251">
        <v>12.198422878403363</v>
      </c>
      <c r="BE251">
        <v>10.48389399740384</v>
      </c>
      <c r="BF251">
        <v>9.6661835779582503</v>
      </c>
      <c r="BG251">
        <v>6.0508458893555144</v>
      </c>
      <c r="BH251">
        <v>7.5913640233224129</v>
      </c>
      <c r="BI251">
        <v>7.4720336675972732</v>
      </c>
      <c r="BJ251">
        <v>2.63812393333545</v>
      </c>
      <c r="BK251">
        <v>3.0413622386799943</v>
      </c>
      <c r="BL251">
        <v>2.2804089300173018</v>
      </c>
      <c r="BM251">
        <v>6.4230139903868064</v>
      </c>
      <c r="BN251">
        <v>2.6743032738939689</v>
      </c>
      <c r="BO251">
        <v>2.762614833371984</v>
      </c>
      <c r="BP251">
        <v>2.7482118939375653</v>
      </c>
      <c r="BQ251">
        <v>3.0632153627775409</v>
      </c>
    </row>
    <row r="252" spans="1:69" hidden="1" x14ac:dyDescent="0.2">
      <c r="A252" t="s">
        <v>565</v>
      </c>
      <c r="B252" t="s">
        <v>566</v>
      </c>
      <c r="C252" t="s">
        <v>71</v>
      </c>
      <c r="D252" t="s">
        <v>72</v>
      </c>
      <c r="AB252">
        <v>45.944492602352256</v>
      </c>
      <c r="AC252">
        <v>25.276809619585123</v>
      </c>
      <c r="AD252">
        <v>120.3359467144582</v>
      </c>
      <c r="AE252">
        <v>137.28087514851381</v>
      </c>
      <c r="AF252">
        <v>180.98801172235255</v>
      </c>
      <c r="AG252">
        <v>189.975114519253</v>
      </c>
      <c r="AH252">
        <v>115.44673104386777</v>
      </c>
      <c r="AI252">
        <v>44.380089672357713</v>
      </c>
      <c r="AJ252">
        <v>26.019336699248612</v>
      </c>
      <c r="AK252">
        <v>45.068029089554216</v>
      </c>
      <c r="AL252">
        <v>30.136871450944881</v>
      </c>
      <c r="AM252">
        <v>6.8484975518894089</v>
      </c>
      <c r="AN252">
        <v>9.3764376363304649</v>
      </c>
      <c r="AO252">
        <v>4.5724812824332588</v>
      </c>
      <c r="AP252">
        <v>3.0952685191885791</v>
      </c>
      <c r="AQ252">
        <v>8.7857068515249352</v>
      </c>
      <c r="AR252">
        <v>-0.11313055058234056</v>
      </c>
      <c r="AS252">
        <v>11.117305882486249</v>
      </c>
      <c r="AT252">
        <v>4.5344758116547865</v>
      </c>
      <c r="AU252">
        <v>-3.1695563374237992</v>
      </c>
      <c r="AV252">
        <v>7.806740872975098</v>
      </c>
      <c r="AW252">
        <v>15.587549983445072</v>
      </c>
      <c r="AX252">
        <v>-1.7411852918063744</v>
      </c>
      <c r="AY252">
        <v>2.4056202154191055</v>
      </c>
      <c r="AZ252">
        <v>7.3212473176833583</v>
      </c>
      <c r="BA252">
        <v>6.364276547792457</v>
      </c>
      <c r="BB252">
        <v>85.353275235057509</v>
      </c>
      <c r="BC252">
        <v>5.6376116381346151</v>
      </c>
      <c r="BD252">
        <v>9.3916554920373159</v>
      </c>
      <c r="BE252">
        <v>3.837455606256583</v>
      </c>
      <c r="BF252">
        <v>3.5869058261315416</v>
      </c>
      <c r="BG252">
        <v>5.1063073238571803</v>
      </c>
      <c r="BH252">
        <v>5.1878598645628529</v>
      </c>
      <c r="BI252">
        <v>4.7810002908055083</v>
      </c>
      <c r="BJ252">
        <v>4.6490508196250175</v>
      </c>
      <c r="BK252">
        <v>4.4433852716642548</v>
      </c>
      <c r="BL252">
        <v>3.0000118163171265</v>
      </c>
      <c r="BM252">
        <v>2.7214844414999106</v>
      </c>
      <c r="BN252">
        <v>2.5451192961930502</v>
      </c>
      <c r="BO252">
        <v>4.9222867309914875</v>
      </c>
      <c r="BP252">
        <v>6.7480151664101271</v>
      </c>
      <c r="BQ252">
        <v>4.3714530030566578</v>
      </c>
    </row>
    <row r="253" spans="1:69" hidden="1" x14ac:dyDescent="0.2">
      <c r="A253" t="s">
        <v>567</v>
      </c>
      <c r="B253" t="s">
        <v>568</v>
      </c>
      <c r="C253" t="s">
        <v>71</v>
      </c>
      <c r="D253" t="s">
        <v>72</v>
      </c>
      <c r="AG253">
        <v>1.7181283186431102</v>
      </c>
      <c r="AH253">
        <v>3.8470932099443189</v>
      </c>
      <c r="AI253">
        <v>16.249085697360428</v>
      </c>
      <c r="AJ253">
        <v>96.10286546234255</v>
      </c>
      <c r="AK253">
        <v>1768.2326215442699</v>
      </c>
      <c r="AL253">
        <v>3333.5854224334198</v>
      </c>
      <c r="AM253">
        <v>952.995953408471</v>
      </c>
      <c r="AN253">
        <v>415.80988157654713</v>
      </c>
      <c r="AO253">
        <v>66.145661557869488</v>
      </c>
      <c r="AP253">
        <v>18.073795456302747</v>
      </c>
      <c r="AQ253">
        <v>12.012017768588805</v>
      </c>
      <c r="AR253">
        <v>27.399926714070862</v>
      </c>
      <c r="AS253">
        <v>27.501412028901925</v>
      </c>
      <c r="AT253">
        <v>10.200915874305025</v>
      </c>
      <c r="AU253">
        <v>5.2537412781922939</v>
      </c>
      <c r="AV253">
        <v>8.1643397533076154</v>
      </c>
      <c r="AW253">
        <v>15.310736283737398</v>
      </c>
      <c r="AX253">
        <v>24.096058613923901</v>
      </c>
      <c r="AY253">
        <v>14.852495470839983</v>
      </c>
      <c r="AZ253">
        <v>22.842344043355638</v>
      </c>
      <c r="BA253">
        <v>29.020114409265716</v>
      </c>
      <c r="BB253">
        <v>12.629928973802734</v>
      </c>
      <c r="BC253">
        <v>13.673228207332897</v>
      </c>
      <c r="BD253">
        <v>14.181908662636516</v>
      </c>
      <c r="BE253">
        <v>7.9825611104503906</v>
      </c>
      <c r="BF253">
        <v>4.3087934370935415</v>
      </c>
      <c r="BG253">
        <v>15.901737523473997</v>
      </c>
      <c r="BH253">
        <v>38.881679759997667</v>
      </c>
      <c r="BI253">
        <v>17.097134923843768</v>
      </c>
      <c r="BJ253">
        <v>22.098317497801716</v>
      </c>
      <c r="BK253">
        <v>15.398530351415559</v>
      </c>
      <c r="BL253">
        <v>8.246226266424685</v>
      </c>
      <c r="BM253">
        <v>10.294960137876345</v>
      </c>
      <c r="BN253">
        <v>24.804756767554608</v>
      </c>
      <c r="BO253">
        <v>34.915285143493207</v>
      </c>
      <c r="BP253">
        <v>19.874463854743567</v>
      </c>
      <c r="BQ253">
        <v>12.279140805689551</v>
      </c>
    </row>
    <row r="254" spans="1:69" hidden="1" x14ac:dyDescent="0.2">
      <c r="A254" t="s">
        <v>569</v>
      </c>
      <c r="B254" t="s">
        <v>570</v>
      </c>
      <c r="C254" t="s">
        <v>71</v>
      </c>
      <c r="D254" t="s">
        <v>72</v>
      </c>
      <c r="F254">
        <v>2.5022880345706255</v>
      </c>
      <c r="G254">
        <v>2.3512790514963058</v>
      </c>
      <c r="H254">
        <v>2.6868991242928928</v>
      </c>
      <c r="I254">
        <v>2.5474988801788498</v>
      </c>
      <c r="J254">
        <v>2.6524045997143588</v>
      </c>
      <c r="K254">
        <v>3.3997529030405573</v>
      </c>
      <c r="L254">
        <v>3.170000300555472</v>
      </c>
      <c r="M254">
        <v>2.7348121606220559</v>
      </c>
      <c r="N254">
        <v>3.3333699378438553</v>
      </c>
      <c r="O254">
        <v>4.3529690492255355</v>
      </c>
      <c r="P254">
        <v>5.9225936806803645</v>
      </c>
      <c r="Q254">
        <v>6.8910124824779757</v>
      </c>
      <c r="R254">
        <v>14.588522855621463</v>
      </c>
      <c r="S254">
        <v>23.360186574147015</v>
      </c>
      <c r="T254">
        <v>10.186274867295388</v>
      </c>
      <c r="U254">
        <v>10.566288837776895</v>
      </c>
      <c r="V254">
        <v>10.512397302476991</v>
      </c>
      <c r="W254">
        <v>9.5091988832901109</v>
      </c>
      <c r="X254">
        <v>15.088434073145017</v>
      </c>
      <c r="Y254">
        <v>17.799857634956062</v>
      </c>
      <c r="Z254">
        <v>8.8293171879349046</v>
      </c>
      <c r="AA254">
        <v>7.3756672898490621</v>
      </c>
      <c r="AB254">
        <v>7.1381151168293258</v>
      </c>
      <c r="AC254">
        <v>8.5221700989363995</v>
      </c>
      <c r="AD254">
        <v>4.7116974202411441</v>
      </c>
      <c r="AE254">
        <v>4.5335384034562551</v>
      </c>
      <c r="AF254">
        <v>8.3413821021147001</v>
      </c>
      <c r="AG254">
        <v>7.0447324282600263</v>
      </c>
      <c r="AH254">
        <v>8.3571734405584834</v>
      </c>
      <c r="AI254">
        <v>9.7232382708466432</v>
      </c>
      <c r="AJ254">
        <v>20.2552482807193</v>
      </c>
      <c r="AK254">
        <v>12.643016362980845</v>
      </c>
      <c r="AL254">
        <v>14.504351628253346</v>
      </c>
      <c r="AM254">
        <v>22.096378259210425</v>
      </c>
      <c r="AN254">
        <v>10.838319455778304</v>
      </c>
      <c r="AO254">
        <v>8.788257132449715</v>
      </c>
      <c r="AP254">
        <v>7.0040680495887173</v>
      </c>
      <c r="AQ254">
        <v>4.9243615848878761</v>
      </c>
      <c r="AR254">
        <v>6.9160608124156511</v>
      </c>
      <c r="AS254">
        <v>8.8552168514483895</v>
      </c>
      <c r="AT254">
        <v>6.0305415284848323</v>
      </c>
      <c r="AU254">
        <v>5.0078663725151529</v>
      </c>
      <c r="AV254">
        <v>5.4874291379014721</v>
      </c>
      <c r="AW254">
        <v>7.7520607632126683</v>
      </c>
      <c r="AX254">
        <v>6.8969365161184442</v>
      </c>
      <c r="AY254">
        <v>8.4473052603476333</v>
      </c>
      <c r="AZ254">
        <v>7.0634217169423437</v>
      </c>
      <c r="BA254">
        <v>9.2442488257698017</v>
      </c>
      <c r="BB254">
        <v>2.0091282897711409</v>
      </c>
      <c r="BC254">
        <v>5.9195805128398291</v>
      </c>
      <c r="BD254">
        <v>6.8660778163530694</v>
      </c>
      <c r="BE254">
        <v>3.8400143809444529</v>
      </c>
      <c r="BF254">
        <v>2.5020601692043485</v>
      </c>
      <c r="BG254">
        <v>2.3708117574637626</v>
      </c>
      <c r="BH254">
        <v>2.1943469062737435</v>
      </c>
      <c r="BI254">
        <v>2.67571807418269</v>
      </c>
      <c r="BJ254">
        <v>3.6435213819044634</v>
      </c>
      <c r="BK254">
        <v>3.4221701510493645</v>
      </c>
      <c r="BL254">
        <v>2.310728334603013</v>
      </c>
      <c r="BM254">
        <v>1.3245952103171064</v>
      </c>
      <c r="BN254">
        <v>6.4602095671056716</v>
      </c>
      <c r="BO254">
        <v>9.5601111490667066</v>
      </c>
      <c r="BP254">
        <v>4.684029959997801</v>
      </c>
      <c r="BQ254">
        <v>3.8432983868135011</v>
      </c>
    </row>
    <row r="255" spans="1:69" hidden="1" x14ac:dyDescent="0.2">
      <c r="A255" t="s">
        <v>571</v>
      </c>
      <c r="B255" t="s">
        <v>572</v>
      </c>
      <c r="C255" t="s">
        <v>71</v>
      </c>
      <c r="D255" t="s">
        <v>72</v>
      </c>
      <c r="F255">
        <v>18.426883240469749</v>
      </c>
      <c r="G255">
        <v>11.990619742564263</v>
      </c>
      <c r="H255">
        <v>19.898714806205803</v>
      </c>
      <c r="I255">
        <v>40.351516119877658</v>
      </c>
      <c r="J255">
        <v>62.184786313750578</v>
      </c>
      <c r="K255">
        <v>72.317782972574179</v>
      </c>
      <c r="L255">
        <v>78.528490750874482</v>
      </c>
      <c r="M255">
        <v>116.24917359828123</v>
      </c>
      <c r="N255">
        <v>27.080227188748879</v>
      </c>
      <c r="O255">
        <v>4.1874706365740906</v>
      </c>
      <c r="P255">
        <v>31.689969404238326</v>
      </c>
      <c r="Q255">
        <v>69.167066478851922</v>
      </c>
      <c r="R255">
        <v>191.57411642297365</v>
      </c>
      <c r="S255">
        <v>28.48703817514388</v>
      </c>
      <c r="T255">
        <v>65.977879844702358</v>
      </c>
      <c r="U255">
        <v>47.291492415170694</v>
      </c>
      <c r="V255">
        <v>55.606691619369968</v>
      </c>
      <c r="W255">
        <v>46.801660989907873</v>
      </c>
      <c r="X255">
        <v>79.208194705612101</v>
      </c>
      <c r="Y255">
        <v>54.762700979328685</v>
      </c>
      <c r="Z255">
        <v>27.344599505112981</v>
      </c>
      <c r="AA255">
        <v>18.16226689256051</v>
      </c>
      <c r="AB255">
        <v>53.731047071060345</v>
      </c>
      <c r="AC255">
        <v>56.349606827773755</v>
      </c>
      <c r="AD255">
        <v>74.017161454322689</v>
      </c>
      <c r="AE255">
        <v>70.963335084944447</v>
      </c>
      <c r="AF255">
        <v>72.783991222286062</v>
      </c>
      <c r="AG255">
        <v>74.636391784691824</v>
      </c>
      <c r="AH255">
        <v>76.079466148176579</v>
      </c>
      <c r="AI255">
        <v>106.83667649803513</v>
      </c>
      <c r="AJ255">
        <v>100.80816762216674</v>
      </c>
      <c r="AK255">
        <v>59.623622696602496</v>
      </c>
      <c r="AL255">
        <v>47.85192889293063</v>
      </c>
      <c r="AM255">
        <v>38.957182364286638</v>
      </c>
      <c r="AN255">
        <v>41.048326872872082</v>
      </c>
      <c r="AO255">
        <v>26.43173777947429</v>
      </c>
      <c r="AP255">
        <v>27.485166095239435</v>
      </c>
      <c r="AQ255">
        <v>12.383905458597241</v>
      </c>
      <c r="AR255">
        <v>3.8829960652083031</v>
      </c>
      <c r="AS255">
        <v>3.5393084928220304</v>
      </c>
      <c r="AT255">
        <v>4.8266183326548742</v>
      </c>
      <c r="AU255">
        <v>12.616276638970277</v>
      </c>
      <c r="AV255">
        <v>16.541635153769192</v>
      </c>
      <c r="AW255">
        <v>10.105055996487749</v>
      </c>
      <c r="AX255">
        <v>0.67786837374019626</v>
      </c>
      <c r="AY255">
        <v>7.4143991297506204</v>
      </c>
      <c r="AZ255">
        <v>10.314968175511126</v>
      </c>
      <c r="BA255">
        <v>8.9023885782868462</v>
      </c>
      <c r="BB255">
        <v>8.6170745452345017</v>
      </c>
      <c r="BC255">
        <v>5.7468569844218109</v>
      </c>
      <c r="BD255">
        <v>9.8754202456833582</v>
      </c>
      <c r="BE255">
        <v>9.4129124737221304</v>
      </c>
      <c r="BF255">
        <v>8.9992466688451742</v>
      </c>
      <c r="BG255">
        <v>10.220656603452483</v>
      </c>
      <c r="BH255">
        <v>9.85542032172539</v>
      </c>
      <c r="BI255">
        <v>8.1654565431531978</v>
      </c>
      <c r="BJ255">
        <v>5.6801048351447889</v>
      </c>
      <c r="BK255">
        <v>7.5256313915401734</v>
      </c>
      <c r="BL255">
        <v>8.2563109703971804</v>
      </c>
      <c r="BM255">
        <v>10.723425814044958</v>
      </c>
      <c r="BN255">
        <v>11.074040405025443</v>
      </c>
      <c r="BO255">
        <v>5.1476805114519948</v>
      </c>
      <c r="BP255">
        <v>3.4131254835156284</v>
      </c>
      <c r="BQ255">
        <v>4.2801844656541306</v>
      </c>
    </row>
    <row r="256" spans="1:69" x14ac:dyDescent="0.2">
      <c r="A256" t="s">
        <v>573</v>
      </c>
      <c r="B256" t="s">
        <v>574</v>
      </c>
      <c r="C256" t="s">
        <v>71</v>
      </c>
      <c r="D256" t="s">
        <v>72</v>
      </c>
      <c r="F256">
        <v>1.1389666503510085</v>
      </c>
      <c r="G256">
        <v>1.2729301926146519</v>
      </c>
      <c r="H256">
        <v>1.1569762114020534</v>
      </c>
      <c r="I256">
        <v>1.5496017362249859</v>
      </c>
      <c r="J256">
        <v>1.8237430122929084</v>
      </c>
      <c r="K256">
        <v>2.7180505781405202</v>
      </c>
      <c r="L256">
        <v>2.908569682458932</v>
      </c>
      <c r="M256">
        <v>4.2745634096667402</v>
      </c>
      <c r="N256">
        <v>4.8844011029182326</v>
      </c>
      <c r="O256">
        <v>5.1895425347442199</v>
      </c>
      <c r="P256">
        <v>5.0698075121856618</v>
      </c>
      <c r="Q256">
        <v>4.3261266437391726</v>
      </c>
      <c r="R256">
        <v>5.4799234480377379</v>
      </c>
      <c r="S256">
        <v>8.9986930118411124</v>
      </c>
      <c r="T256">
        <v>9.2627906637823116</v>
      </c>
      <c r="U256">
        <v>5.503491902311282</v>
      </c>
      <c r="V256">
        <v>6.2133327249853494</v>
      </c>
      <c r="W256">
        <v>7.0339306547084277</v>
      </c>
      <c r="X256">
        <v>8.2967219827984309</v>
      </c>
      <c r="Y256">
        <v>9.0331053920272808</v>
      </c>
      <c r="Z256">
        <v>9.4621640890245402</v>
      </c>
      <c r="AA256">
        <v>6.1784041414035755</v>
      </c>
      <c r="AB256">
        <v>3.9169087910907052</v>
      </c>
      <c r="AC256">
        <v>3.6078793047632018</v>
      </c>
      <c r="AD256">
        <v>3.1625252548404177</v>
      </c>
      <c r="AE256">
        <v>2.0138925402186487</v>
      </c>
      <c r="AF256">
        <v>2.477388464135629</v>
      </c>
      <c r="AG256">
        <v>3.5274998615983435</v>
      </c>
      <c r="AH256">
        <v>3.9207594813091902</v>
      </c>
      <c r="AI256">
        <v>3.7433291014070278</v>
      </c>
      <c r="AJ256">
        <v>3.3818113288146492</v>
      </c>
      <c r="AK256">
        <v>2.2788543529417211</v>
      </c>
      <c r="AL256">
        <v>2.3703248319923063</v>
      </c>
      <c r="AM256">
        <v>2.1351984210835155</v>
      </c>
      <c r="AN256">
        <v>2.0966884883653734</v>
      </c>
      <c r="AO256">
        <v>1.8307645539258317</v>
      </c>
      <c r="AP256">
        <v>1.7244479572733269</v>
      </c>
      <c r="AQ256">
        <v>1.1238656205817108</v>
      </c>
      <c r="AR256">
        <v>1.4150981207033055</v>
      </c>
      <c r="AS256">
        <v>2.2651951747072872</v>
      </c>
      <c r="AT256">
        <v>2.2516899205759842</v>
      </c>
      <c r="AU256">
        <v>1.5539946554048498</v>
      </c>
      <c r="AV256">
        <v>1.9743147054254422</v>
      </c>
      <c r="AW256">
        <v>2.6890876010551779</v>
      </c>
      <c r="AX256">
        <v>3.1354545592355834</v>
      </c>
      <c r="AY256">
        <v>3.0838367347347315</v>
      </c>
      <c r="AZ256">
        <v>2.7092584857480091</v>
      </c>
      <c r="BA256">
        <v>1.9267096990950137</v>
      </c>
      <c r="BB256">
        <v>0.61678071303961701</v>
      </c>
      <c r="BC256">
        <v>1.2152866833260703</v>
      </c>
      <c r="BD256">
        <v>2.0631094744365726</v>
      </c>
      <c r="BE256">
        <v>1.8621649294819633</v>
      </c>
      <c r="BF256">
        <v>1.7018803620007219</v>
      </c>
      <c r="BG256">
        <v>1.7416180532767669</v>
      </c>
      <c r="BH256">
        <v>0.92804279334069406</v>
      </c>
      <c r="BI256">
        <v>0.95032247776268264</v>
      </c>
      <c r="BJ256">
        <v>1.7908032863539489</v>
      </c>
      <c r="BK256">
        <v>2.2908902769430881</v>
      </c>
      <c r="BL256">
        <v>1.6504656691346753</v>
      </c>
      <c r="BM256">
        <v>1.3288327382145582</v>
      </c>
      <c r="BN256">
        <v>4.5659855026199097</v>
      </c>
      <c r="BO256">
        <v>7.1294808542102999</v>
      </c>
      <c r="BP256">
        <v>3.5983913537808547</v>
      </c>
      <c r="BQ256">
        <v>2.4180981594887641</v>
      </c>
    </row>
    <row r="257" spans="1:69" hidden="1" x14ac:dyDescent="0.2">
      <c r="A257" t="s">
        <v>575</v>
      </c>
      <c r="B257" t="s">
        <v>576</v>
      </c>
      <c r="C257" t="s">
        <v>71</v>
      </c>
      <c r="D257" t="s">
        <v>72</v>
      </c>
      <c r="AG257">
        <v>-1.3070797372561316</v>
      </c>
      <c r="AH257">
        <v>1.3805332932893748</v>
      </c>
      <c r="AI257">
        <v>3.9796893528447015</v>
      </c>
      <c r="AJ257">
        <v>90.727279998618258</v>
      </c>
      <c r="AK257">
        <v>712.14926029959076</v>
      </c>
      <c r="AL257">
        <v>1078.8828546508475</v>
      </c>
      <c r="AM257">
        <v>1238.5952705791542</v>
      </c>
      <c r="AN257">
        <v>370.94395326693518</v>
      </c>
      <c r="AO257">
        <v>81.555254685637181</v>
      </c>
      <c r="AP257">
        <v>66.087067811484872</v>
      </c>
      <c r="AQ257">
        <v>38.997955592297757</v>
      </c>
      <c r="AR257">
        <v>44.115363283581246</v>
      </c>
      <c r="AS257">
        <v>47.292615213215868</v>
      </c>
      <c r="AT257">
        <v>45.239476279182099</v>
      </c>
      <c r="AU257">
        <v>45.483127509634926</v>
      </c>
      <c r="AV257">
        <v>26.765183201108101</v>
      </c>
      <c r="AW257">
        <v>15.918274272173988</v>
      </c>
      <c r="AX257">
        <v>21.430866564483523</v>
      </c>
      <c r="AY257">
        <v>23.46580828670244</v>
      </c>
      <c r="AZ257">
        <v>21.897099928402724</v>
      </c>
      <c r="BA257">
        <v>26.791584982815991</v>
      </c>
      <c r="BB257">
        <v>17.261565134241266</v>
      </c>
      <c r="BC257">
        <v>48.58168995009683</v>
      </c>
      <c r="BD257">
        <v>21.626509936149162</v>
      </c>
      <c r="BE257">
        <v>15.398794701752379</v>
      </c>
      <c r="BF257">
        <v>11.987891478733758</v>
      </c>
      <c r="BG257">
        <v>14.02491763233607</v>
      </c>
      <c r="BH257">
        <v>10.500699515002637</v>
      </c>
      <c r="BI257">
        <v>8.9303684932150276</v>
      </c>
      <c r="BJ257">
        <v>33.6793703838878</v>
      </c>
      <c r="BK257">
        <v>25.881158634897702</v>
      </c>
      <c r="BL257">
        <v>17.576010623367949</v>
      </c>
      <c r="BM257">
        <v>10.610338224362366</v>
      </c>
      <c r="BN257">
        <v>13.692973277670603</v>
      </c>
      <c r="BO257">
        <v>14.462656351308397</v>
      </c>
      <c r="BP257">
        <v>13.823039902276022</v>
      </c>
      <c r="BQ257">
        <v>13.3925832336284</v>
      </c>
    </row>
    <row r="258" spans="1:69" hidden="1" x14ac:dyDescent="0.2">
      <c r="A258" t="s">
        <v>577</v>
      </c>
      <c r="B258" t="s">
        <v>578</v>
      </c>
      <c r="C258" t="s">
        <v>71</v>
      </c>
      <c r="D258" t="s">
        <v>72</v>
      </c>
      <c r="F258">
        <v>2.5022880345706255</v>
      </c>
      <c r="G258">
        <v>5.3752486293959123E-2</v>
      </c>
      <c r="H258">
        <v>0.68581746113487441</v>
      </c>
      <c r="I258">
        <v>3.848615226864311</v>
      </c>
      <c r="J258">
        <v>1.4735663292607057</v>
      </c>
      <c r="K258">
        <v>6.5637065637065461</v>
      </c>
      <c r="L258">
        <v>11.727693681030686</v>
      </c>
      <c r="M258">
        <v>3.3106244184777438</v>
      </c>
      <c r="N258">
        <v>5.4522306043969309</v>
      </c>
      <c r="O258">
        <v>5.8621759850424837E-2</v>
      </c>
      <c r="P258">
        <v>4.2236621329909667</v>
      </c>
      <c r="Q258">
        <v>6.3631886909619482</v>
      </c>
      <c r="R258">
        <v>25.434317689030877</v>
      </c>
      <c r="S258">
        <v>25.447625441696047</v>
      </c>
      <c r="T258">
        <v>15.469143499776436</v>
      </c>
      <c r="U258">
        <v>7.7146040540797571</v>
      </c>
      <c r="V258">
        <v>37.25347680771597</v>
      </c>
      <c r="W258">
        <v>12.303954746943361</v>
      </c>
      <c r="X258">
        <v>13.025974176163473</v>
      </c>
      <c r="Y258">
        <v>13.053545689500751</v>
      </c>
      <c r="Z258">
        <v>18.513116156098036</v>
      </c>
      <c r="AA258">
        <v>6.6591194778728067</v>
      </c>
      <c r="AB258">
        <v>5.1874445108110621</v>
      </c>
      <c r="AC258">
        <v>3.6202722915163861</v>
      </c>
      <c r="AD258">
        <v>1.5854623550783771</v>
      </c>
      <c r="AE258">
        <v>4.5835626567280201</v>
      </c>
      <c r="AF258">
        <v>8.6842293524790932</v>
      </c>
      <c r="AG258">
        <v>0.21649543597499132</v>
      </c>
      <c r="AH258">
        <v>5.5008376554428935</v>
      </c>
      <c r="AI258">
        <v>7.4719904443765159</v>
      </c>
      <c r="AJ258">
        <v>4.826656352095867</v>
      </c>
      <c r="AK258">
        <v>2.5354064319738114</v>
      </c>
      <c r="AL258">
        <v>-1.1951831262741734</v>
      </c>
      <c r="AM258">
        <v>2.3702969159067351</v>
      </c>
      <c r="AN258">
        <v>1.3115069969390305</v>
      </c>
      <c r="AO258">
        <v>3.5652587614733307</v>
      </c>
      <c r="AP258">
        <v>1.358841760136869</v>
      </c>
      <c r="AQ258">
        <v>3.2110019999290955</v>
      </c>
      <c r="AR258">
        <v>1.8172958525780558</v>
      </c>
      <c r="AS258">
        <v>7.7617147900130874</v>
      </c>
      <c r="AT258">
        <v>6.1192298501139959</v>
      </c>
      <c r="AU258">
        <v>0.20688509036888547</v>
      </c>
      <c r="AV258">
        <v>-2.1734907423300598</v>
      </c>
      <c r="AW258">
        <v>3.7472262139151695</v>
      </c>
      <c r="AX258">
        <v>2.9035843927580913</v>
      </c>
      <c r="AY258">
        <v>3.7022730777342048</v>
      </c>
      <c r="AZ258">
        <v>7.3264120647871493</v>
      </c>
      <c r="BA258">
        <v>2.2581223630410392</v>
      </c>
      <c r="BB258">
        <v>-1.1439072378428818</v>
      </c>
      <c r="BC258">
        <v>5.5805973740208401</v>
      </c>
      <c r="BD258">
        <v>-0.31890448565958707</v>
      </c>
      <c r="BE258">
        <v>1.0927418556658779</v>
      </c>
      <c r="BF258">
        <v>2.2421812768415208</v>
      </c>
      <c r="BG258">
        <v>-0.4446311906056053</v>
      </c>
      <c r="BH258">
        <v>-0.7319738298601095</v>
      </c>
      <c r="BI258">
        <v>-0.59351952236184502</v>
      </c>
      <c r="BJ258">
        <v>2.1715435302071597</v>
      </c>
      <c r="BK258">
        <v>1.5485473318384493</v>
      </c>
      <c r="BL258">
        <v>2.2736255278430662</v>
      </c>
      <c r="BM258">
        <v>-0.80850600144046325</v>
      </c>
      <c r="BN258">
        <v>0.68114836719811933</v>
      </c>
      <c r="BO258">
        <v>7.9519803370290134</v>
      </c>
      <c r="BP258">
        <v>2.9140051060796139</v>
      </c>
      <c r="BQ258">
        <v>3.7119789060930231</v>
      </c>
    </row>
    <row r="259" spans="1:69" hidden="1" x14ac:dyDescent="0.2">
      <c r="A259" t="s">
        <v>579</v>
      </c>
      <c r="B259" t="s">
        <v>580</v>
      </c>
      <c r="C259" t="s">
        <v>71</v>
      </c>
      <c r="D259" t="s">
        <v>72</v>
      </c>
      <c r="F259">
        <v>2.0137305616902097</v>
      </c>
      <c r="G259">
        <v>0.66505413846186912</v>
      </c>
      <c r="H259">
        <v>4.9198297798874933</v>
      </c>
      <c r="I259">
        <v>-0.36650285812181949</v>
      </c>
      <c r="J259">
        <v>2.1672088362046225</v>
      </c>
      <c r="K259">
        <v>2.6449268298169812</v>
      </c>
      <c r="L259">
        <v>2.4342268206811042</v>
      </c>
      <c r="M259">
        <v>1.0650990285021322</v>
      </c>
      <c r="N259">
        <v>1.7794617790069651</v>
      </c>
      <c r="O259">
        <v>4.3582631784284018</v>
      </c>
      <c r="P259">
        <v>8.2326575917424947</v>
      </c>
      <c r="Q259">
        <v>6.2687768190004363</v>
      </c>
      <c r="R259">
        <v>11.200394489952131</v>
      </c>
      <c r="S259">
        <v>50.107968794629357</v>
      </c>
      <c r="T259">
        <v>2.2629981494588094</v>
      </c>
      <c r="U259">
        <v>6.1935443240511034</v>
      </c>
      <c r="V259">
        <v>8.4484272706866363</v>
      </c>
      <c r="W259">
        <v>6.0866753283344508</v>
      </c>
      <c r="X259">
        <v>21.945579254879547</v>
      </c>
      <c r="Y259">
        <v>28.027239538162405</v>
      </c>
      <c r="Z259">
        <v>12.606375912640289</v>
      </c>
      <c r="AA259">
        <v>4.2845034816312904</v>
      </c>
      <c r="AB259">
        <v>3.6352565830137991</v>
      </c>
      <c r="AC259">
        <v>42.551256594369192</v>
      </c>
      <c r="AD259">
        <v>10.420210832766202</v>
      </c>
      <c r="AE259">
        <v>-1.1768232399454064</v>
      </c>
      <c r="AF259">
        <v>37.444524654392353</v>
      </c>
      <c r="AG259">
        <v>18.497659973323238</v>
      </c>
      <c r="AH259">
        <v>89.163123589035251</v>
      </c>
      <c r="AI259">
        <v>41.740657127242798</v>
      </c>
      <c r="AJ259">
        <v>21.449616427425838</v>
      </c>
      <c r="AK259">
        <v>28.244062356827044</v>
      </c>
      <c r="AL259">
        <v>31.645824152682394</v>
      </c>
      <c r="AM259">
        <v>62.89068458438993</v>
      </c>
      <c r="AN259">
        <v>51.759901832726456</v>
      </c>
      <c r="AO259">
        <v>115.52471793332924</v>
      </c>
      <c r="AP259">
        <v>33.947459925683006</v>
      </c>
      <c r="AQ259">
        <v>18.890286702571586</v>
      </c>
      <c r="AR259">
        <v>26.192710061555459</v>
      </c>
      <c r="AS259">
        <v>29.4528251104893</v>
      </c>
      <c r="AT259">
        <v>7.9969040562045848</v>
      </c>
      <c r="AU259">
        <v>33.022876078637097</v>
      </c>
      <c r="AV259">
        <v>34.93375573873692</v>
      </c>
      <c r="AW259">
        <v>33.953724338534613</v>
      </c>
      <c r="AX259">
        <v>29.60405935129765</v>
      </c>
      <c r="AY259">
        <v>17.904315549063583</v>
      </c>
      <c r="AZ259">
        <v>15.448477757966941</v>
      </c>
      <c r="BA259">
        <v>30.132452853435183</v>
      </c>
      <c r="BB259">
        <v>7.8316663600266594</v>
      </c>
      <c r="BC259">
        <v>45.943268698589264</v>
      </c>
      <c r="BD259">
        <v>28.149190952885363</v>
      </c>
      <c r="BE259">
        <v>14.059430064286076</v>
      </c>
      <c r="BF259">
        <v>35.502674634833539</v>
      </c>
      <c r="BG259">
        <v>40.440490106554819</v>
      </c>
    </row>
    <row r="260" spans="1:69" hidden="1" x14ac:dyDescent="0.2">
      <c r="A260" t="s">
        <v>581</v>
      </c>
      <c r="B260" t="s">
        <v>582</v>
      </c>
      <c r="C260" t="s">
        <v>71</v>
      </c>
      <c r="D260" t="s">
        <v>72</v>
      </c>
    </row>
    <row r="261" spans="1:69" hidden="1" x14ac:dyDescent="0.2">
      <c r="A261" t="s">
        <v>583</v>
      </c>
      <c r="B261" t="s">
        <v>584</v>
      </c>
      <c r="C261" t="s">
        <v>71</v>
      </c>
      <c r="D261" t="s">
        <v>72</v>
      </c>
      <c r="AV261">
        <v>5.9684639309691079</v>
      </c>
      <c r="AW261">
        <v>6.7732747618547364</v>
      </c>
      <c r="AX261">
        <v>12.69076165630949</v>
      </c>
      <c r="AY261">
        <v>-2.1644500087326577</v>
      </c>
      <c r="AZ261">
        <v>2.5765268953530835</v>
      </c>
      <c r="BA261">
        <v>-12.355680961095246</v>
      </c>
      <c r="BB261">
        <v>5.9756770439148568</v>
      </c>
      <c r="BC261">
        <v>2.3176689027906434</v>
      </c>
      <c r="BD261">
        <v>6.3929376734505041</v>
      </c>
      <c r="BE261">
        <v>13.663272555055656</v>
      </c>
      <c r="BF261">
        <v>-2.4530271398747345</v>
      </c>
      <c r="BG261">
        <v>-2.9051661739813284</v>
      </c>
      <c r="BH261">
        <v>3.1875775542187199</v>
      </c>
      <c r="BI261">
        <v>2.051803522391765</v>
      </c>
      <c r="BJ261">
        <v>0.63464201431553136</v>
      </c>
      <c r="BK261">
        <v>1.4937415019437026</v>
      </c>
      <c r="BL261">
        <v>2.0783761391134874</v>
      </c>
      <c r="BM261">
        <v>4.3051874188710002</v>
      </c>
      <c r="BN261">
        <v>2.8032391972255368</v>
      </c>
      <c r="BO261">
        <v>5.0382672607046857</v>
      </c>
    </row>
    <row r="262" spans="1:69" hidden="1" x14ac:dyDescent="0.2">
      <c r="A262" t="s">
        <v>585</v>
      </c>
      <c r="B262" t="s">
        <v>586</v>
      </c>
      <c r="C262" t="s">
        <v>71</v>
      </c>
      <c r="D262" t="s">
        <v>72</v>
      </c>
      <c r="AE262">
        <v>398.07308560005714</v>
      </c>
      <c r="AF262">
        <v>362.55632118027546</v>
      </c>
      <c r="AG262">
        <v>411.04025331116628</v>
      </c>
      <c r="AH262">
        <v>69.688725352943521</v>
      </c>
      <c r="AI262">
        <v>42.095098132218283</v>
      </c>
      <c r="AJ262">
        <v>72.546384595038575</v>
      </c>
      <c r="AK262">
        <v>32.629184460633951</v>
      </c>
      <c r="AL262">
        <v>17.414974629790663</v>
      </c>
      <c r="AM262">
        <v>16.95231602776029</v>
      </c>
      <c r="AN262">
        <v>17.040195419134193</v>
      </c>
      <c r="AO262">
        <v>8.6967671174354564</v>
      </c>
      <c r="AP262">
        <v>6.5974047817614689</v>
      </c>
      <c r="AQ262">
        <v>8.8378641281389889</v>
      </c>
      <c r="AR262">
        <v>5.7347028294046538</v>
      </c>
      <c r="AS262">
        <v>3.4088276652760641</v>
      </c>
      <c r="AT262">
        <v>2.6222647843613771</v>
      </c>
      <c r="AU262">
        <v>4.6989281620196692</v>
      </c>
      <c r="AV262">
        <v>7.1096024629148076</v>
      </c>
      <c r="AW262">
        <v>8.4333121320908475</v>
      </c>
      <c r="AX262">
        <v>18.810519570769742</v>
      </c>
      <c r="AY262">
        <v>8.5689479760376628</v>
      </c>
      <c r="AZ262">
        <v>9.6302256121611833</v>
      </c>
      <c r="BA262">
        <v>22.673316174610619</v>
      </c>
      <c r="BB262">
        <v>6.2156231512056763</v>
      </c>
      <c r="BC262">
        <v>42.30326724885569</v>
      </c>
      <c r="BD262">
        <v>21.413679281817721</v>
      </c>
      <c r="BE262">
        <v>9.0776606902503829</v>
      </c>
      <c r="BF262">
        <v>4.0385236375227578</v>
      </c>
      <c r="BG262">
        <v>3.6981379680881759</v>
      </c>
      <c r="BH262">
        <v>-1.7165117074965508</v>
      </c>
      <c r="BI262">
        <v>1.8195359277991372</v>
      </c>
      <c r="BJ262">
        <v>4.3629201476643118</v>
      </c>
      <c r="BK262">
        <v>3.6266473002725945</v>
      </c>
      <c r="BL262">
        <v>2.423226942292672</v>
      </c>
      <c r="BM262">
        <v>1.4674781481081425</v>
      </c>
      <c r="BN262">
        <v>2.8807679290064243</v>
      </c>
      <c r="BO262">
        <v>4.4428330495188959</v>
      </c>
      <c r="BP262">
        <v>2.0933909158375741</v>
      </c>
      <c r="BQ262">
        <v>4.1595862115790965</v>
      </c>
    </row>
    <row r="263" spans="1:69" hidden="1" x14ac:dyDescent="0.2">
      <c r="A263" t="s">
        <v>587</v>
      </c>
      <c r="B263" t="s">
        <v>588</v>
      </c>
      <c r="C263" t="s">
        <v>71</v>
      </c>
      <c r="D263" t="s">
        <v>72</v>
      </c>
      <c r="Y263">
        <v>13.912665228118357</v>
      </c>
      <c r="Z263">
        <v>15.682220076543814</v>
      </c>
      <c r="AA263">
        <v>8.0969723131949678</v>
      </c>
      <c r="AB263">
        <v>2.7976038871088633</v>
      </c>
      <c r="AC263">
        <v>12.16622313334608</v>
      </c>
      <c r="AD263">
        <v>-3.4501515205864592</v>
      </c>
      <c r="AE263">
        <v>-2.9725271942026694</v>
      </c>
      <c r="AF263">
        <v>16.475182339151303</v>
      </c>
      <c r="AG263">
        <v>9.7960553936204349</v>
      </c>
      <c r="AH263">
        <v>6.4486618871322889</v>
      </c>
      <c r="AI263">
        <v>-0.9681043723461471</v>
      </c>
      <c r="AJ263">
        <v>10.267848542402461</v>
      </c>
      <c r="AK263">
        <v>2.7861810511520986</v>
      </c>
      <c r="AL263">
        <v>2.0626598721347591</v>
      </c>
      <c r="AM263">
        <v>2.3103001062972908</v>
      </c>
      <c r="AN263">
        <v>1.7319388222901893</v>
      </c>
      <c r="AO263">
        <v>2.085194743605328</v>
      </c>
      <c r="AP263">
        <v>3.1770227925516252</v>
      </c>
      <c r="AQ263">
        <v>4.593925213805349</v>
      </c>
      <c r="AR263">
        <v>3.0786389989836636</v>
      </c>
      <c r="AS263">
        <v>2.1789705814129263</v>
      </c>
      <c r="AT263">
        <v>3.6249055294183705</v>
      </c>
      <c r="AU263">
        <v>2.8744212340722868</v>
      </c>
      <c r="AV263">
        <v>0.7987427861845191</v>
      </c>
      <c r="AW263">
        <v>2.1168781943607655</v>
      </c>
      <c r="AX263">
        <v>0.41954189687101007</v>
      </c>
      <c r="AY263">
        <v>3.8727171595438961</v>
      </c>
      <c r="AZ263">
        <v>5.7769601471734973</v>
      </c>
      <c r="BA263">
        <v>7.1645705748804431</v>
      </c>
      <c r="BB263">
        <v>2.5547143121155642</v>
      </c>
      <c r="BC263">
        <v>1.4717088033394816</v>
      </c>
      <c r="BD263">
        <v>2.7869098819282954</v>
      </c>
      <c r="BE263">
        <v>-0.4640356924437441</v>
      </c>
      <c r="BF263">
        <v>3.0071862496078126</v>
      </c>
      <c r="BG263">
        <v>2.1320949836142233</v>
      </c>
      <c r="BH263">
        <v>6.0362144429368954</v>
      </c>
      <c r="BI263">
        <v>1.8403020880419092</v>
      </c>
      <c r="BJ263">
        <v>4.1581057589221899</v>
      </c>
      <c r="BK263">
        <v>3.2077964521077575</v>
      </c>
      <c r="BL263">
        <v>3.2803877221798388</v>
      </c>
      <c r="BM263">
        <v>2.785341843297374</v>
      </c>
      <c r="BN263">
        <v>4.0869309190799612</v>
      </c>
      <c r="BO263">
        <v>5.1209093126682035</v>
      </c>
      <c r="BP263">
        <v>13.941421006297844</v>
      </c>
      <c r="BQ263">
        <v>-0.78712202026281375</v>
      </c>
    </row>
    <row r="264" spans="1:69" hidden="1" x14ac:dyDescent="0.2">
      <c r="A264" t="s">
        <v>589</v>
      </c>
      <c r="B264" t="s">
        <v>590</v>
      </c>
      <c r="C264" t="s">
        <v>71</v>
      </c>
      <c r="D264" t="s">
        <v>72</v>
      </c>
      <c r="G264">
        <v>2.3919711871773046</v>
      </c>
      <c r="H264">
        <v>3.0198569280312171</v>
      </c>
      <c r="I264">
        <v>3.2840085575508553</v>
      </c>
      <c r="J264">
        <v>2.9985383907403147</v>
      </c>
      <c r="K264">
        <v>3.7370022581523159</v>
      </c>
      <c r="L264">
        <v>2.8702914878734731</v>
      </c>
      <c r="M264">
        <v>3.3106244184777438</v>
      </c>
      <c r="N264">
        <v>4.1056606306608074</v>
      </c>
      <c r="O264">
        <v>4.7220140023282084</v>
      </c>
      <c r="P264">
        <v>5.4644251791602301</v>
      </c>
      <c r="Q264">
        <v>6.3881389287516868</v>
      </c>
      <c r="R264">
        <v>11.847047061847995</v>
      </c>
      <c r="S264">
        <v>16.714355406778935</v>
      </c>
      <c r="T264">
        <v>10.484570374597027</v>
      </c>
      <c r="U264">
        <v>9.2815220186309517</v>
      </c>
      <c r="V264">
        <v>9.6930856082707564</v>
      </c>
      <c r="W264">
        <v>7.7978014064391701</v>
      </c>
      <c r="X264">
        <v>11.512247233014726</v>
      </c>
      <c r="Y264">
        <v>13.053545689500751</v>
      </c>
      <c r="Z264">
        <v>10.150714648163287</v>
      </c>
      <c r="AA264">
        <v>8.1130868418377844</v>
      </c>
      <c r="AB264">
        <v>7.7252723865774726</v>
      </c>
      <c r="AC264">
        <v>7.9232328482273857</v>
      </c>
      <c r="AD264">
        <v>5.5268201428267787</v>
      </c>
      <c r="AE264">
        <v>5.2394149768332738</v>
      </c>
      <c r="AF264">
        <v>7.1763685109351698</v>
      </c>
      <c r="AG264">
        <v>6.5134153194451088</v>
      </c>
      <c r="AH264">
        <v>7.1477388277844369</v>
      </c>
      <c r="AI264">
        <v>7.9878494717877047</v>
      </c>
      <c r="AJ264">
        <v>8.6656589447414589</v>
      </c>
      <c r="AK264">
        <v>7.3440669291872496</v>
      </c>
      <c r="AL264">
        <v>8.085875532060868</v>
      </c>
      <c r="AM264">
        <v>9.808157634572396</v>
      </c>
      <c r="AN264">
        <v>8.6759675785591099</v>
      </c>
      <c r="AO264">
        <v>6.6196380707603097</v>
      </c>
      <c r="AP264">
        <v>4.4565708952409793</v>
      </c>
      <c r="AQ264">
        <v>4.6919666498717589</v>
      </c>
      <c r="AR264">
        <v>4.3396883849730585</v>
      </c>
      <c r="AS264">
        <v>4.9368080115609132</v>
      </c>
      <c r="AT264">
        <v>3.961552917150172</v>
      </c>
      <c r="AU264">
        <v>3.5542132545605369</v>
      </c>
      <c r="AV264">
        <v>3.9745624299609545</v>
      </c>
      <c r="AW264">
        <v>5.7254132279322789</v>
      </c>
      <c r="AX264">
        <v>5.6684356262420437</v>
      </c>
      <c r="AY264">
        <v>5.8076608733047692</v>
      </c>
      <c r="AZ264">
        <v>5.8468923119352212</v>
      </c>
      <c r="BA264">
        <v>7.8565864646320591</v>
      </c>
      <c r="BB264">
        <v>2.1165450194592665</v>
      </c>
      <c r="BC264">
        <v>4.2297849990792855</v>
      </c>
      <c r="BD264">
        <v>5.4198247373878417</v>
      </c>
      <c r="BE264">
        <v>3.6064342687494673</v>
      </c>
      <c r="BF264">
        <v>2.2607706092235418</v>
      </c>
      <c r="BG264">
        <v>2.0318551779136271</v>
      </c>
      <c r="BH264">
        <v>2.2926347015487067</v>
      </c>
      <c r="BI264">
        <v>1.8952891356944406</v>
      </c>
      <c r="BJ264">
        <v>2.9702970297029765</v>
      </c>
      <c r="BK264">
        <v>2.7896672091382655</v>
      </c>
      <c r="BL264">
        <v>2.3381426807823615</v>
      </c>
      <c r="BM264">
        <v>1.90147361302013</v>
      </c>
      <c r="BN264">
        <v>4.6247133783945955</v>
      </c>
      <c r="BO264">
        <v>7.155211207055082</v>
      </c>
      <c r="BP264">
        <v>5.2772546442724888</v>
      </c>
      <c r="BQ264">
        <v>3.76207995661197</v>
      </c>
    </row>
    <row r="265" spans="1:69" hidden="1" x14ac:dyDescent="0.2">
      <c r="A265" t="s">
        <v>591</v>
      </c>
      <c r="B265" t="s">
        <v>592</v>
      </c>
      <c r="C265" t="s">
        <v>71</v>
      </c>
      <c r="D265" t="s">
        <v>72</v>
      </c>
      <c r="P265">
        <v>4.4091755614137611</v>
      </c>
      <c r="Q265">
        <v>7.6660132456678411</v>
      </c>
      <c r="R265">
        <v>11.844660311201281</v>
      </c>
      <c r="S265">
        <v>25.284680237350841</v>
      </c>
      <c r="T265">
        <v>8.3784116698665656</v>
      </c>
      <c r="U265">
        <v>4.54041903805728</v>
      </c>
      <c r="V265">
        <v>15.17857242621578</v>
      </c>
      <c r="W265">
        <v>-2.9411759446863641</v>
      </c>
      <c r="X265">
        <v>14.292312361079922</v>
      </c>
      <c r="Y265">
        <v>21.999997225173118</v>
      </c>
      <c r="Z265">
        <v>16.221979415366533</v>
      </c>
      <c r="AA265">
        <v>20.904187770514966</v>
      </c>
      <c r="AB265">
        <v>17.896765734986886</v>
      </c>
      <c r="AC265">
        <v>15.865640038190548</v>
      </c>
      <c r="AD265">
        <v>1.5389822116960374</v>
      </c>
      <c r="AE265">
        <v>-0.30970594046047495</v>
      </c>
      <c r="AF265">
        <v>4.5174287578991539</v>
      </c>
      <c r="AG265">
        <v>18.373988390307616</v>
      </c>
      <c r="AH265">
        <v>-2.7920941436415916</v>
      </c>
      <c r="AI265">
        <v>9.0064394330030098</v>
      </c>
      <c r="AJ265">
        <v>6.1113737418962302</v>
      </c>
      <c r="AK265">
        <v>8.5659684197727302</v>
      </c>
      <c r="AL265">
        <v>0.65472996740376743</v>
      </c>
      <c r="AM265">
        <v>68.227952779849289</v>
      </c>
      <c r="AN265">
        <v>-6.9754628598937103</v>
      </c>
      <c r="AO265">
        <v>4.5900509449284783</v>
      </c>
      <c r="AP265">
        <v>11.836407396568788</v>
      </c>
      <c r="AQ265">
        <v>3.4136407504570059</v>
      </c>
      <c r="AR265">
        <v>1.1262338288969431</v>
      </c>
      <c r="AS265">
        <v>2.074898621014782</v>
      </c>
      <c r="AT265">
        <v>3.3668486479639341</v>
      </c>
      <c r="AU265">
        <v>1.4813515871341423</v>
      </c>
      <c r="AV265">
        <v>2.5474982005170261</v>
      </c>
      <c r="AW265">
        <v>7.072759103891201</v>
      </c>
      <c r="AX265">
        <v>3.9951333907488333</v>
      </c>
      <c r="AY265">
        <v>5.2741106484573379</v>
      </c>
      <c r="AZ265">
        <v>7.4886894940577662</v>
      </c>
      <c r="BA265">
        <v>9.1198248874280381</v>
      </c>
      <c r="BB265">
        <v>1.6777240352717797</v>
      </c>
      <c r="BC265">
        <v>-5.1459434662577337</v>
      </c>
      <c r="BD265">
        <v>-0.9098598964084772</v>
      </c>
      <c r="BE265">
        <v>4.0264752632009504</v>
      </c>
      <c r="BF265">
        <v>2.3462900987460529</v>
      </c>
      <c r="BG265">
        <v>0.85311322201742712</v>
      </c>
      <c r="BH265">
        <v>3.9646663960822366</v>
      </c>
      <c r="BI265">
        <v>2.2447565190943664</v>
      </c>
      <c r="BJ265">
        <v>0.30490542251524744</v>
      </c>
      <c r="BK265">
        <v>1.0975834063535785</v>
      </c>
      <c r="BL265">
        <v>1.499486194790947</v>
      </c>
      <c r="BM265">
        <v>1.2236092399405152</v>
      </c>
      <c r="BN265">
        <v>-0.40125291737564339</v>
      </c>
      <c r="BO265">
        <v>5.6383772880976153</v>
      </c>
      <c r="BP265">
        <v>8.0891730244785833</v>
      </c>
      <c r="BQ265">
        <v>5.0087758999650731</v>
      </c>
    </row>
    <row r="266" spans="1:69" hidden="1" x14ac:dyDescent="0.2">
      <c r="A266" t="s">
        <v>593</v>
      </c>
      <c r="B266" t="s">
        <v>594</v>
      </c>
      <c r="C266" t="s">
        <v>71</v>
      </c>
      <c r="D266" t="s">
        <v>72</v>
      </c>
      <c r="BB266">
        <v>-2.8331299917188915</v>
      </c>
      <c r="BC266">
        <v>6.3924013895309884</v>
      </c>
      <c r="BD266">
        <v>6.3037660651552869</v>
      </c>
      <c r="BE266">
        <v>3.5254028600693061</v>
      </c>
      <c r="BF266">
        <v>0.35312712376172328</v>
      </c>
      <c r="BG266">
        <v>1.6014389028881766</v>
      </c>
      <c r="BH266">
        <v>0.60784065863386161</v>
      </c>
      <c r="BI266">
        <v>0.77925416926561297</v>
      </c>
      <c r="BJ266">
        <v>0.4400191432565066</v>
      </c>
      <c r="BK266">
        <v>1.4989192512996539</v>
      </c>
      <c r="BL266">
        <v>0.96296013906950861</v>
      </c>
      <c r="BM266">
        <v>1.3811071721751489</v>
      </c>
      <c r="BN266">
        <v>6.1155399308282057</v>
      </c>
      <c r="BO266">
        <v>7.1987107549257985</v>
      </c>
      <c r="BP266">
        <v>4.5637884930457915</v>
      </c>
      <c r="BQ266">
        <v>1.9607355272958387</v>
      </c>
    </row>
    <row r="267" spans="1:69" hidden="1" x14ac:dyDescent="0.2">
      <c r="A267" t="s">
        <v>595</v>
      </c>
      <c r="B267" t="s">
        <v>596</v>
      </c>
      <c r="C267" t="s">
        <v>71</v>
      </c>
      <c r="D267" t="s">
        <v>72</v>
      </c>
      <c r="AJ267">
        <v>11.993581115159159</v>
      </c>
      <c r="AK267">
        <v>13.171745343996676</v>
      </c>
      <c r="AL267">
        <v>16.375907863770166</v>
      </c>
      <c r="AM267">
        <v>20.784364435650843</v>
      </c>
      <c r="AN267">
        <v>45.74334276276528</v>
      </c>
      <c r="AO267">
        <v>36.770087897473189</v>
      </c>
      <c r="AP267">
        <v>13.290492691958093</v>
      </c>
      <c r="AQ267">
        <v>-8.3429517500430848</v>
      </c>
      <c r="AR267">
        <v>33.460905360990438</v>
      </c>
      <c r="AS267">
        <v>23.346051923834082</v>
      </c>
      <c r="AT267">
        <v>2.7482004537064881</v>
      </c>
      <c r="AU267">
        <v>8.71188048361509</v>
      </c>
      <c r="AV267">
        <v>10.892342838930233</v>
      </c>
      <c r="AW267">
        <v>14.113319988449845</v>
      </c>
      <c r="AX267">
        <v>18.533353551815708</v>
      </c>
      <c r="AY267">
        <v>13.588647275420968</v>
      </c>
      <c r="AZ267">
        <v>10.888282434850154</v>
      </c>
      <c r="BA267">
        <v>20.37774623576496</v>
      </c>
      <c r="BB267">
        <v>-8.7052700202966378</v>
      </c>
      <c r="BC267">
        <v>23.616292011905117</v>
      </c>
      <c r="BD267">
        <v>18.113666675391556</v>
      </c>
      <c r="BE267">
        <v>5.89315892847344</v>
      </c>
      <c r="BF267">
        <v>9.2089570340965423</v>
      </c>
      <c r="BG267">
        <v>7.1633242262510066</v>
      </c>
      <c r="BH267">
        <v>46.476251206674164</v>
      </c>
      <c r="BI267">
        <v>0.13441085140584619</v>
      </c>
      <c r="BJ267">
        <v>18.553566169923656</v>
      </c>
      <c r="BK267">
        <v>14.853664761075194</v>
      </c>
    </row>
    <row r="268" spans="1:69" hidden="1" x14ac:dyDescent="0.2">
      <c r="A268" t="s">
        <v>597</v>
      </c>
      <c r="B268" t="s">
        <v>598</v>
      </c>
      <c r="C268" t="s">
        <v>71</v>
      </c>
      <c r="D268" t="s">
        <v>72</v>
      </c>
      <c r="F268">
        <v>1.5524513315760373</v>
      </c>
      <c r="G268">
        <v>0.18399493754452578</v>
      </c>
      <c r="H268">
        <v>3.0039335081930574</v>
      </c>
      <c r="I268">
        <v>2.0486461905678084</v>
      </c>
      <c r="J268">
        <v>3.0024984740452396</v>
      </c>
      <c r="K268">
        <v>4.1200465353348363</v>
      </c>
      <c r="L268">
        <v>3.8549851494587699</v>
      </c>
      <c r="M268">
        <v>3.9219430999975771</v>
      </c>
      <c r="N268">
        <v>7.386696054016511</v>
      </c>
      <c r="O268">
        <v>4.6905353793948166</v>
      </c>
      <c r="P268">
        <v>5.9444069252664775</v>
      </c>
      <c r="Q268">
        <v>10.721498348477681</v>
      </c>
      <c r="R268">
        <v>17.127232014050392</v>
      </c>
      <c r="S268">
        <v>14.817606202479851</v>
      </c>
      <c r="T268">
        <v>10.944805241391691</v>
      </c>
      <c r="U268">
        <v>10.291984951580943</v>
      </c>
      <c r="V268">
        <v>10.256483955127422</v>
      </c>
      <c r="W268">
        <v>10.520620973062321</v>
      </c>
      <c r="X268">
        <v>13.961744870551456</v>
      </c>
      <c r="Y268">
        <v>23.046165520610145</v>
      </c>
      <c r="Z268">
        <v>11.406426604538169</v>
      </c>
      <c r="AA268">
        <v>14.553658030888926</v>
      </c>
      <c r="AB268">
        <v>17.069120585456488</v>
      </c>
      <c r="AC268">
        <v>11.150544554779444</v>
      </c>
      <c r="AD268">
        <v>16.14433126055718</v>
      </c>
      <c r="AE268">
        <v>16.656865772348965</v>
      </c>
      <c r="AF268">
        <v>14.848030161917364</v>
      </c>
      <c r="AG268">
        <v>15.420832416804501</v>
      </c>
      <c r="AH268">
        <v>17.081661278805683</v>
      </c>
      <c r="AI268">
        <v>15.445440463922083</v>
      </c>
      <c r="AJ268">
        <v>15.654521922223651</v>
      </c>
      <c r="AK268">
        <v>14.714025281141232</v>
      </c>
      <c r="AL268">
        <v>13.364258261079726</v>
      </c>
      <c r="AM268">
        <v>9.8121870848900841</v>
      </c>
      <c r="AN268">
        <v>10.838319455778304</v>
      </c>
      <c r="AO268">
        <v>8.0220879924221862</v>
      </c>
      <c r="AP268">
        <v>8.1374329185802736</v>
      </c>
      <c r="AQ268">
        <v>8.0757383731677521</v>
      </c>
      <c r="AR268">
        <v>6.888834101227431</v>
      </c>
      <c r="AS268">
        <v>9.1821914156735573</v>
      </c>
      <c r="AT268">
        <v>7.8004749630590879</v>
      </c>
      <c r="AU268">
        <v>12.537957905723005</v>
      </c>
      <c r="AV268">
        <v>6.3957635871328904</v>
      </c>
      <c r="AW268">
        <v>6.0421715904549984</v>
      </c>
      <c r="AX268">
        <v>5.597009780640434</v>
      </c>
      <c r="AY268">
        <v>6.0646370145030772</v>
      </c>
      <c r="AZ268">
        <v>8.2457647661167357</v>
      </c>
      <c r="BA268">
        <v>7.8503317285133107</v>
      </c>
      <c r="BB268">
        <v>8.6630418315964022</v>
      </c>
      <c r="BC268">
        <v>6.1284324316044376</v>
      </c>
      <c r="BD268">
        <v>5.5390564315126198</v>
      </c>
      <c r="BE268">
        <v>4.6852063881398465</v>
      </c>
      <c r="BF268">
        <v>5.8441114006734693</v>
      </c>
      <c r="BG268">
        <v>5.3665461846838127</v>
      </c>
      <c r="BH268">
        <v>5.545528123398725</v>
      </c>
      <c r="BI268">
        <v>6.9521719608847974</v>
      </c>
      <c r="BJ268">
        <v>5.4733219748147661</v>
      </c>
      <c r="BK268">
        <v>3.9932950850944309</v>
      </c>
      <c r="BL268">
        <v>4.6135246905248124</v>
      </c>
      <c r="BM268">
        <v>5.3913943350575977</v>
      </c>
      <c r="BN268">
        <v>6.5386905828711548</v>
      </c>
      <c r="BO268">
        <v>4.9924713839596393</v>
      </c>
      <c r="BP268">
        <v>4.8042714269498106</v>
      </c>
      <c r="BQ268">
        <v>3.8432983868135011</v>
      </c>
    </row>
    <row r="269" spans="1:69" hidden="1" x14ac:dyDescent="0.2">
      <c r="A269" t="s">
        <v>599</v>
      </c>
      <c r="B269" t="s">
        <v>600</v>
      </c>
      <c r="C269" t="s">
        <v>71</v>
      </c>
      <c r="D269" t="s">
        <v>72</v>
      </c>
      <c r="F269">
        <v>-3.6558317516409033</v>
      </c>
      <c r="G269">
        <v>2.0915622928210524</v>
      </c>
      <c r="H269">
        <v>0.4036000574409826</v>
      </c>
      <c r="I269">
        <v>4.0831051869820101</v>
      </c>
      <c r="J269">
        <v>10.589055028760214</v>
      </c>
      <c r="K269">
        <v>23.641851601549547</v>
      </c>
      <c r="L269">
        <v>0.26287445913841623</v>
      </c>
      <c r="M269">
        <v>15.939905444087472</v>
      </c>
      <c r="N269">
        <v>22.946209786227769</v>
      </c>
      <c r="O269">
        <v>-11.394405743846377</v>
      </c>
      <c r="P269">
        <v>-7.4965237531378364</v>
      </c>
      <c r="Q269">
        <v>3.710510970045263</v>
      </c>
      <c r="R269">
        <v>19.889847383969752</v>
      </c>
      <c r="S269">
        <v>10.82214968633275</v>
      </c>
      <c r="T269">
        <v>-14.169898584360496</v>
      </c>
      <c r="U269">
        <v>15.204586982500317</v>
      </c>
      <c r="V269">
        <v>8.2540184269197709</v>
      </c>
      <c r="W269">
        <v>12.681487906082793</v>
      </c>
      <c r="X269">
        <v>21.889066983297084</v>
      </c>
      <c r="Y269">
        <v>11.762915649675662</v>
      </c>
      <c r="Z269">
        <v>7.1586180248555564</v>
      </c>
      <c r="AA269">
        <v>6.1386012926460722</v>
      </c>
      <c r="AB269">
        <v>18.62934635180531</v>
      </c>
      <c r="AC269">
        <v>18.331231799031997</v>
      </c>
      <c r="AD269">
        <v>41.137350508031545</v>
      </c>
      <c r="AE269">
        <v>81.988356699386713</v>
      </c>
      <c r="AF269">
        <v>62.012898264580116</v>
      </c>
      <c r="AG269">
        <v>34.490304448445386</v>
      </c>
      <c r="AH269">
        <v>80.877334730492237</v>
      </c>
      <c r="AI269">
        <v>106.38892004329054</v>
      </c>
      <c r="AJ269">
        <v>92.654578208570399</v>
      </c>
      <c r="AK269">
        <v>165.53395380792051</v>
      </c>
      <c r="AL269">
        <v>143.65834165755459</v>
      </c>
      <c r="AM269">
        <v>80.742198646010252</v>
      </c>
      <c r="AN269">
        <v>30.611124759574238</v>
      </c>
      <c r="AO269">
        <v>24.349259559526317</v>
      </c>
      <c r="AP269">
        <v>25.402541259163698</v>
      </c>
      <c r="AQ269">
        <v>16.906872813821778</v>
      </c>
      <c r="AR269">
        <v>17.923873066351433</v>
      </c>
      <c r="AS269">
        <v>32.613870511728805</v>
      </c>
      <c r="AT269">
        <v>25.331258462241408</v>
      </c>
      <c r="AU269">
        <v>19.390923266941002</v>
      </c>
      <c r="AV269">
        <v>17.607723683992276</v>
      </c>
      <c r="AW269">
        <v>19.716823205593784</v>
      </c>
      <c r="AX269">
        <v>16.650199072887247</v>
      </c>
      <c r="AY269">
        <v>14.542252675954344</v>
      </c>
      <c r="AZ269">
        <v>12.970210733581695</v>
      </c>
      <c r="BA269">
        <v>10.640244817069402</v>
      </c>
      <c r="BB269">
        <v>5.559685660255866</v>
      </c>
      <c r="BC269">
        <v>13.950913193451896</v>
      </c>
      <c r="BD269">
        <v>11.107413268617506</v>
      </c>
      <c r="BE269">
        <v>6.9922272490021413</v>
      </c>
      <c r="BF269">
        <v>9.730891220305665</v>
      </c>
      <c r="BG269">
        <v>5.4405245812661747</v>
      </c>
      <c r="BH269">
        <v>6.6592921135734287</v>
      </c>
      <c r="BI269">
        <v>13.576101169422714</v>
      </c>
      <c r="BJ269">
        <v>10.072837085491628</v>
      </c>
      <c r="BK269">
        <v>7.4115709484325691</v>
      </c>
      <c r="BL269">
        <v>7.6334704807674285</v>
      </c>
      <c r="BM269">
        <v>13.913870617885763</v>
      </c>
      <c r="BN269">
        <v>25.142777614829683</v>
      </c>
      <c r="BO269">
        <v>6.1403183896508295</v>
      </c>
      <c r="BP269">
        <v>7.0946296030375748</v>
      </c>
      <c r="BQ269">
        <v>18.779150334632106</v>
      </c>
    </row>
    <row r="270" spans="1:69" hidden="1" x14ac:dyDescent="0.2">
      <c r="A270" t="s">
        <v>601</v>
      </c>
      <c r="B270" t="s">
        <v>602</v>
      </c>
      <c r="C270" t="s">
        <v>71</v>
      </c>
      <c r="D270" t="s">
        <v>72</v>
      </c>
      <c r="F270">
        <v>-2.0412998226823618</v>
      </c>
      <c r="G270">
        <v>0.46961781728607832</v>
      </c>
      <c r="H270">
        <v>-2.3477399562242596</v>
      </c>
      <c r="I270">
        <v>6.144011732078198</v>
      </c>
      <c r="J270">
        <v>2.7041432955420674</v>
      </c>
      <c r="K270">
        <v>-3.7299665302995351</v>
      </c>
      <c r="L270">
        <v>0.57656168552620102</v>
      </c>
      <c r="M270">
        <v>3.8662067608985922</v>
      </c>
      <c r="N270">
        <v>5.0803331127616786</v>
      </c>
      <c r="O270">
        <v>-12.053144236574937</v>
      </c>
      <c r="P270">
        <v>6.1632539044041579</v>
      </c>
      <c r="Q270">
        <v>13.453569507138724</v>
      </c>
      <c r="R270">
        <v>20.450655938950121</v>
      </c>
      <c r="S270">
        <v>12.853755267591509</v>
      </c>
      <c r="T270">
        <v>11.933753131314646</v>
      </c>
      <c r="U270">
        <v>-1.6679084917643081</v>
      </c>
      <c r="V270">
        <v>8.5099991023893722</v>
      </c>
      <c r="W270">
        <v>2.4812257240710522</v>
      </c>
      <c r="X270">
        <v>15.180729931784171</v>
      </c>
      <c r="Y270">
        <v>12.74093492816553</v>
      </c>
      <c r="Z270">
        <v>6.5990811519634747</v>
      </c>
      <c r="AA270">
        <v>3.8587619820431343</v>
      </c>
      <c r="AB270">
        <v>-10.50150468042348</v>
      </c>
      <c r="AC270">
        <v>-16.594747728177879</v>
      </c>
      <c r="AD270">
        <v>-17.016659023481722</v>
      </c>
      <c r="AE270">
        <v>8.0258830982402429</v>
      </c>
      <c r="AF270">
        <v>7.1893613143302275</v>
      </c>
      <c r="AG270">
        <v>7.7851166922167039</v>
      </c>
      <c r="AH270">
        <v>0.79293286985458167</v>
      </c>
      <c r="AI270">
        <v>-0.92043104560559641</v>
      </c>
      <c r="AJ270">
        <v>-6.7773000430583323</v>
      </c>
      <c r="AK270">
        <v>-14.129658341649417</v>
      </c>
      <c r="AL270">
        <v>-3.7911221921255702</v>
      </c>
      <c r="AM270">
        <v>-3.8956725619350863</v>
      </c>
      <c r="AN270">
        <v>3.0385382555346609</v>
      </c>
      <c r="AO270">
        <v>8.9843833284063805</v>
      </c>
      <c r="AP270">
        <v>-2.8790481379558344</v>
      </c>
      <c r="AQ270">
        <v>-27.048649270359832</v>
      </c>
      <c r="AR270">
        <v>8.0068132965615462</v>
      </c>
      <c r="AS270">
        <v>0.62790002103578502</v>
      </c>
      <c r="AT270">
        <v>-0.13089021166052817</v>
      </c>
      <c r="AU270">
        <v>2.7129502947475146</v>
      </c>
      <c r="AV270">
        <v>8.8012756070630331</v>
      </c>
      <c r="AW270">
        <v>7.6115243160854078</v>
      </c>
      <c r="AX270">
        <v>5.1366011066344299</v>
      </c>
      <c r="AY270">
        <v>-2.0176787072883116</v>
      </c>
      <c r="AZ270">
        <v>0.89488682330373592</v>
      </c>
      <c r="BA270">
        <v>1.3492225294901203</v>
      </c>
      <c r="BB270">
        <v>93.248336985883356</v>
      </c>
      <c r="BC270">
        <v>4.0976379261616671</v>
      </c>
      <c r="BD270">
        <v>2.552752487704808</v>
      </c>
      <c r="BE270">
        <v>4.0289278015319638</v>
      </c>
      <c r="BF270">
        <v>9.3710750936433271</v>
      </c>
      <c r="BG270">
        <v>-0.25196968087024629</v>
      </c>
      <c r="BH270">
        <v>0.60737760528139972</v>
      </c>
      <c r="BI270">
        <v>2.1617913784378402</v>
      </c>
      <c r="BJ270">
        <v>197.45465907793204</v>
      </c>
      <c r="BK270">
        <v>3.5540557783805014</v>
      </c>
      <c r="BL270">
        <v>225.3948369682264</v>
      </c>
      <c r="BM270">
        <v>604.94560877924766</v>
      </c>
      <c r="BN270">
        <v>113.29494937427108</v>
      </c>
      <c r="BO270">
        <v>266.98745168998067</v>
      </c>
      <c r="BP270">
        <v>921.53525553497207</v>
      </c>
      <c r="BQ270">
        <v>1091.5056060081874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D570D-6EEA-BC45-92C7-8904FC67462D}">
  <dimension ref="A1:BQ111"/>
  <sheetViews>
    <sheetView zoomScale="84" workbookViewId="0">
      <selection activeCell="F14" sqref="F14"/>
    </sheetView>
  </sheetViews>
  <sheetFormatPr baseColWidth="10" defaultRowHeight="16" x14ac:dyDescent="0.2"/>
  <cols>
    <col min="1" max="1" width="28.5" bestFit="1" customWidth="1"/>
    <col min="2" max="2" width="13.5" customWidth="1"/>
    <col min="3" max="3" width="94.1640625" bestFit="1" customWidth="1"/>
    <col min="4" max="5" width="28.5" customWidth="1"/>
    <col min="6" max="6" width="41.83203125" bestFit="1" customWidth="1"/>
    <col min="7" max="7" width="60" bestFit="1" customWidth="1"/>
    <col min="8" max="8" width="70.1640625" customWidth="1"/>
    <col min="9" max="9" width="69.83203125" bestFit="1" customWidth="1"/>
  </cols>
  <sheetData>
    <row r="1" spans="1:69" x14ac:dyDescent="0.2">
      <c r="A1" t="s">
        <v>604</v>
      </c>
      <c r="B1" t="s">
        <v>603</v>
      </c>
      <c r="C1" t="s">
        <v>610</v>
      </c>
      <c r="D1" s="2" t="s">
        <v>611</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
      <c r="A2" t="s">
        <v>589</v>
      </c>
      <c r="B2" s="7">
        <v>1970</v>
      </c>
      <c r="C2" s="3" t="s">
        <v>613</v>
      </c>
      <c r="D2" s="2">
        <v>12.357585832741663</v>
      </c>
    </row>
    <row r="3" spans="1:69" x14ac:dyDescent="0.2">
      <c r="A3" t="s">
        <v>589</v>
      </c>
      <c r="B3" s="7">
        <v>1971</v>
      </c>
      <c r="C3" s="3" t="s">
        <v>613</v>
      </c>
      <c r="D3" s="2">
        <v>14.020855075980126</v>
      </c>
    </row>
    <row r="4" spans="1:69" x14ac:dyDescent="0.2">
      <c r="A4" t="s">
        <v>589</v>
      </c>
      <c r="B4" s="7">
        <v>1972</v>
      </c>
      <c r="C4" s="3" t="s">
        <v>613</v>
      </c>
      <c r="D4" s="2">
        <v>14.768702552929636</v>
      </c>
    </row>
    <row r="5" spans="1:69" x14ac:dyDescent="0.2">
      <c r="A5" t="s">
        <v>589</v>
      </c>
      <c r="B5" s="7">
        <v>1973</v>
      </c>
      <c r="C5" s="3" t="s">
        <v>613</v>
      </c>
      <c r="D5" s="2">
        <v>20.09749076138484</v>
      </c>
    </row>
    <row r="6" spans="1:69" x14ac:dyDescent="0.2">
      <c r="A6" t="s">
        <v>589</v>
      </c>
      <c r="B6" s="7">
        <v>1974</v>
      </c>
      <c r="C6" s="3" t="s">
        <v>613</v>
      </c>
      <c r="D6" s="2">
        <v>24.129828712275692</v>
      </c>
    </row>
    <row r="7" spans="1:69" x14ac:dyDescent="0.2">
      <c r="A7" t="s">
        <v>589</v>
      </c>
      <c r="B7" s="7">
        <v>1975</v>
      </c>
      <c r="C7" s="3" t="s">
        <v>613</v>
      </c>
      <c r="D7" s="2">
        <v>25.843473882758349</v>
      </c>
    </row>
    <row r="8" spans="1:69" x14ac:dyDescent="0.2">
      <c r="A8" t="s">
        <v>589</v>
      </c>
      <c r="B8" s="7">
        <v>1976</v>
      </c>
      <c r="C8" s="3" t="s">
        <v>613</v>
      </c>
      <c r="D8" s="2">
        <v>20.577011011399527</v>
      </c>
    </row>
    <row r="9" spans="1:69" x14ac:dyDescent="0.2">
      <c r="A9" t="s">
        <v>589</v>
      </c>
      <c r="B9" s="7">
        <v>1977</v>
      </c>
      <c r="C9" s="3" t="s">
        <v>613</v>
      </c>
      <c r="D9" s="2">
        <v>27.094427076544491</v>
      </c>
    </row>
    <row r="10" spans="1:69" x14ac:dyDescent="0.2">
      <c r="A10" t="s">
        <v>589</v>
      </c>
      <c r="B10" s="7">
        <v>1978</v>
      </c>
      <c r="C10" s="3" t="s">
        <v>613</v>
      </c>
      <c r="D10" s="2">
        <v>33.742874310553852</v>
      </c>
    </row>
    <row r="11" spans="1:69" x14ac:dyDescent="0.2">
      <c r="A11" t="s">
        <v>589</v>
      </c>
      <c r="B11" s="7">
        <v>1979</v>
      </c>
      <c r="C11" s="3" t="s">
        <v>613</v>
      </c>
      <c r="D11" s="2">
        <v>41.951228839756141</v>
      </c>
    </row>
    <row r="12" spans="1:69" x14ac:dyDescent="0.2">
      <c r="A12" t="s">
        <v>589</v>
      </c>
      <c r="B12" s="7">
        <v>1980</v>
      </c>
      <c r="C12" s="3" t="s">
        <v>613</v>
      </c>
      <c r="D12" s="2">
        <v>53.413886835971915</v>
      </c>
    </row>
    <row r="13" spans="1:69" x14ac:dyDescent="0.2">
      <c r="A13" t="s">
        <v>589</v>
      </c>
      <c r="B13" s="7">
        <v>1981</v>
      </c>
      <c r="C13" s="3" t="s">
        <v>613</v>
      </c>
      <c r="D13" s="2">
        <v>69.598655387668174</v>
      </c>
    </row>
    <row r="14" spans="1:69" x14ac:dyDescent="0.2">
      <c r="A14" t="s">
        <v>589</v>
      </c>
      <c r="B14" s="7">
        <v>1982</v>
      </c>
      <c r="C14" s="3" t="s">
        <v>613</v>
      </c>
      <c r="D14" s="2">
        <v>64.847077910456122</v>
      </c>
    </row>
    <row r="15" spans="1:69" x14ac:dyDescent="0.2">
      <c r="A15" t="s">
        <v>589</v>
      </c>
      <c r="B15" s="7">
        <v>1983</v>
      </c>
      <c r="C15" s="3" t="s">
        <v>613</v>
      </c>
      <c r="D15" s="2">
        <v>53.073373424564089</v>
      </c>
    </row>
    <row r="16" spans="1:69" x14ac:dyDescent="0.2">
      <c r="A16" t="s">
        <v>589</v>
      </c>
      <c r="B16" s="7">
        <v>1984</v>
      </c>
      <c r="C16" s="3" t="s">
        <v>613</v>
      </c>
      <c r="D16" s="2">
        <v>59.791128735993716</v>
      </c>
    </row>
    <row r="17" spans="1:4" x14ac:dyDescent="0.2">
      <c r="A17" t="s">
        <v>589</v>
      </c>
      <c r="B17" s="7">
        <v>1985</v>
      </c>
      <c r="C17" s="3" t="s">
        <v>613</v>
      </c>
      <c r="D17" s="2">
        <v>44.960850724530836</v>
      </c>
    </row>
    <row r="18" spans="1:4" x14ac:dyDescent="0.2">
      <c r="A18" t="s">
        <v>589</v>
      </c>
      <c r="B18" s="7">
        <v>1986</v>
      </c>
      <c r="C18" s="3" t="s">
        <v>613</v>
      </c>
      <c r="D18" s="2">
        <v>81.76878897408956</v>
      </c>
    </row>
    <row r="19" spans="1:4" x14ac:dyDescent="0.2">
      <c r="A19" t="s">
        <v>589</v>
      </c>
      <c r="B19" s="7">
        <v>1987</v>
      </c>
      <c r="C19" s="3" t="s">
        <v>613</v>
      </c>
      <c r="D19" s="2">
        <v>139.51909754610267</v>
      </c>
    </row>
    <row r="20" spans="1:4" x14ac:dyDescent="0.2">
      <c r="A20" t="s">
        <v>589</v>
      </c>
      <c r="B20" s="7">
        <v>1988</v>
      </c>
      <c r="C20" s="3" t="s">
        <v>613</v>
      </c>
      <c r="D20" s="2">
        <v>165.89548945904681</v>
      </c>
    </row>
    <row r="21" spans="1:4" x14ac:dyDescent="0.2">
      <c r="A21" t="s">
        <v>589</v>
      </c>
      <c r="B21" s="7">
        <v>1989</v>
      </c>
      <c r="C21" s="3" t="s">
        <v>613</v>
      </c>
      <c r="D21" s="2">
        <v>200.156890860696</v>
      </c>
    </row>
    <row r="22" spans="1:4" x14ac:dyDescent="0.2">
      <c r="A22" t="s">
        <v>589</v>
      </c>
      <c r="B22" s="7">
        <v>1990</v>
      </c>
      <c r="C22" s="3" t="s">
        <v>613</v>
      </c>
      <c r="D22" s="2">
        <v>239.40898931659362</v>
      </c>
    </row>
    <row r="23" spans="1:4" x14ac:dyDescent="0.2">
      <c r="A23" t="s">
        <v>589</v>
      </c>
      <c r="B23" s="7">
        <v>1991</v>
      </c>
      <c r="C23" s="3" t="s">
        <v>613</v>
      </c>
      <c r="D23" s="2">
        <v>174.93574396089019</v>
      </c>
    </row>
    <row r="24" spans="1:4" x14ac:dyDescent="0.2">
      <c r="A24" t="s">
        <v>589</v>
      </c>
      <c r="B24" s="7">
        <v>1992</v>
      </c>
      <c r="C24" s="3" t="s">
        <v>613</v>
      </c>
      <c r="D24" s="2">
        <v>186.25410923117306</v>
      </c>
    </row>
    <row r="25" spans="1:4" x14ac:dyDescent="0.2">
      <c r="A25" t="s">
        <v>589</v>
      </c>
      <c r="B25" s="7">
        <v>1993</v>
      </c>
      <c r="C25" s="3" t="s">
        <v>613</v>
      </c>
      <c r="D25" s="2">
        <v>233.71968512569518</v>
      </c>
    </row>
    <row r="26" spans="1:4" x14ac:dyDescent="0.2">
      <c r="A26" t="s">
        <v>589</v>
      </c>
      <c r="B26" s="7">
        <v>1994</v>
      </c>
      <c r="C26" s="3" t="s">
        <v>613</v>
      </c>
      <c r="D26" s="2">
        <v>278.76448396491202</v>
      </c>
    </row>
    <row r="27" spans="1:4" x14ac:dyDescent="0.2">
      <c r="A27" t="s">
        <v>589</v>
      </c>
      <c r="B27" s="7">
        <v>1995</v>
      </c>
      <c r="C27" s="3" t="s">
        <v>613</v>
      </c>
      <c r="D27" s="2">
        <v>361.95425096274414</v>
      </c>
    </row>
    <row r="28" spans="1:4" x14ac:dyDescent="0.2">
      <c r="A28" t="s">
        <v>589</v>
      </c>
      <c r="B28" s="7">
        <v>1996</v>
      </c>
      <c r="C28" s="3" t="s">
        <v>613</v>
      </c>
      <c r="D28" s="2">
        <v>417.89266456598091</v>
      </c>
    </row>
    <row r="29" spans="1:4" x14ac:dyDescent="0.2">
      <c r="A29" t="s">
        <v>589</v>
      </c>
      <c r="B29" s="7">
        <v>1997</v>
      </c>
      <c r="C29" s="3" t="s">
        <v>613</v>
      </c>
      <c r="D29" s="2">
        <v>534.15260452988616</v>
      </c>
    </row>
    <row r="30" spans="1:4" x14ac:dyDescent="0.2">
      <c r="A30" t="s">
        <v>589</v>
      </c>
      <c r="B30" s="7">
        <v>1998</v>
      </c>
      <c r="C30" s="3" t="s">
        <v>613</v>
      </c>
      <c r="D30" s="2">
        <v>795.5970033236265</v>
      </c>
    </row>
    <row r="31" spans="1:4" x14ac:dyDescent="0.2">
      <c r="A31" t="s">
        <v>589</v>
      </c>
      <c r="B31" s="7">
        <v>1999</v>
      </c>
      <c r="C31" s="3" t="s">
        <v>613</v>
      </c>
      <c r="D31" s="2">
        <v>1203.6762313722152</v>
      </c>
    </row>
    <row r="32" spans="1:4" x14ac:dyDescent="0.2">
      <c r="A32" t="s">
        <v>589</v>
      </c>
      <c r="B32" s="7">
        <v>2000</v>
      </c>
      <c r="C32" s="3" t="s">
        <v>613</v>
      </c>
      <c r="D32" s="2">
        <v>1569.4502753444744</v>
      </c>
    </row>
    <row r="33" spans="1:4" x14ac:dyDescent="0.2">
      <c r="A33" t="s">
        <v>589</v>
      </c>
      <c r="B33" s="7">
        <v>2001</v>
      </c>
      <c r="C33" s="3" t="s">
        <v>613</v>
      </c>
      <c r="D33" s="2">
        <v>895.7407520435446</v>
      </c>
    </row>
    <row r="34" spans="1:4" x14ac:dyDescent="0.2">
      <c r="A34" t="s">
        <v>589</v>
      </c>
      <c r="B34" s="7">
        <v>2002</v>
      </c>
      <c r="C34" s="3" t="s">
        <v>613</v>
      </c>
      <c r="D34" s="2">
        <v>751.72492004318735</v>
      </c>
    </row>
    <row r="35" spans="1:4" x14ac:dyDescent="0.2">
      <c r="A35" t="s">
        <v>589</v>
      </c>
      <c r="B35" s="7">
        <v>2003</v>
      </c>
      <c r="C35" s="3" t="s">
        <v>613</v>
      </c>
      <c r="D35" s="2">
        <v>736.86360878716891</v>
      </c>
    </row>
    <row r="36" spans="1:4" x14ac:dyDescent="0.2">
      <c r="A36" t="s">
        <v>589</v>
      </c>
      <c r="B36" s="7">
        <v>2004</v>
      </c>
      <c r="C36" s="3" t="s">
        <v>613</v>
      </c>
      <c r="D36" s="2">
        <v>1009.2681686511053</v>
      </c>
    </row>
    <row r="37" spans="1:4" x14ac:dyDescent="0.2">
      <c r="A37" t="s">
        <v>589</v>
      </c>
      <c r="B37" s="7">
        <v>2005</v>
      </c>
      <c r="C37" s="3" t="s">
        <v>613</v>
      </c>
      <c r="D37" s="2">
        <v>1554.656995349611</v>
      </c>
    </row>
    <row r="38" spans="1:4" x14ac:dyDescent="0.2">
      <c r="A38" t="s">
        <v>589</v>
      </c>
      <c r="B38" s="7">
        <v>2006</v>
      </c>
      <c r="C38" s="3" t="s">
        <v>613</v>
      </c>
      <c r="D38" s="2">
        <v>2191.6247956370476</v>
      </c>
    </row>
    <row r="39" spans="1:4" x14ac:dyDescent="0.2">
      <c r="A39" t="s">
        <v>589</v>
      </c>
      <c r="B39" s="7">
        <v>2007</v>
      </c>
      <c r="C39" s="3" t="s">
        <v>613</v>
      </c>
      <c r="D39" s="2">
        <v>3114.6062279012654</v>
      </c>
    </row>
    <row r="40" spans="1:4" x14ac:dyDescent="0.2">
      <c r="A40" t="s">
        <v>589</v>
      </c>
      <c r="B40" s="7">
        <v>2008</v>
      </c>
      <c r="C40" s="3" t="s">
        <v>613</v>
      </c>
      <c r="D40" s="2">
        <v>2438.6614044850794</v>
      </c>
    </row>
    <row r="41" spans="1:4" x14ac:dyDescent="0.2">
      <c r="A41" t="s">
        <v>589</v>
      </c>
      <c r="B41" s="7">
        <v>2009</v>
      </c>
      <c r="C41" s="3" t="s">
        <v>613</v>
      </c>
      <c r="D41" s="2">
        <v>1516.8979465388156</v>
      </c>
    </row>
    <row r="42" spans="1:4" x14ac:dyDescent="0.2">
      <c r="A42" t="s">
        <v>589</v>
      </c>
      <c r="B42" s="7">
        <v>2010</v>
      </c>
      <c r="C42" s="3" t="s">
        <v>613</v>
      </c>
      <c r="D42" s="2">
        <v>1843.4490811220946</v>
      </c>
    </row>
    <row r="43" spans="1:4" x14ac:dyDescent="0.2">
      <c r="A43" t="s">
        <v>589</v>
      </c>
      <c r="B43" s="7">
        <v>2011</v>
      </c>
      <c r="C43" s="3" t="s">
        <v>613</v>
      </c>
      <c r="D43" s="2">
        <v>2388.3930164315934</v>
      </c>
    </row>
    <row r="44" spans="1:4" x14ac:dyDescent="0.2">
      <c r="A44" t="s">
        <v>589</v>
      </c>
      <c r="B44" s="7">
        <v>2012</v>
      </c>
      <c r="C44" s="3" t="s">
        <v>613</v>
      </c>
      <c r="D44" s="2">
        <v>2070.356643487235</v>
      </c>
    </row>
    <row r="45" spans="1:4" x14ac:dyDescent="0.2">
      <c r="A45" t="s">
        <v>589</v>
      </c>
      <c r="B45" s="7">
        <v>2013</v>
      </c>
      <c r="C45" s="3" t="s">
        <v>613</v>
      </c>
      <c r="D45" s="2">
        <v>2167.0813502037236</v>
      </c>
    </row>
    <row r="46" spans="1:4" x14ac:dyDescent="0.2">
      <c r="A46" t="s">
        <v>589</v>
      </c>
      <c r="B46" s="7">
        <v>2014</v>
      </c>
      <c r="C46" s="3" t="s">
        <v>613</v>
      </c>
      <c r="D46" s="2">
        <v>1966.4667277371727</v>
      </c>
    </row>
    <row r="47" spans="1:4" x14ac:dyDescent="0.2">
      <c r="A47" t="s">
        <v>589</v>
      </c>
      <c r="B47" s="7">
        <v>2015</v>
      </c>
      <c r="C47" s="3" t="s">
        <v>613</v>
      </c>
      <c r="D47" s="2">
        <v>2791.8477190874901</v>
      </c>
    </row>
    <row r="48" spans="1:4" x14ac:dyDescent="0.2">
      <c r="A48" t="s">
        <v>589</v>
      </c>
      <c r="B48" s="7">
        <v>2016</v>
      </c>
      <c r="C48" s="3" t="s">
        <v>613</v>
      </c>
      <c r="D48" s="2">
        <v>2748.2537548254409</v>
      </c>
    </row>
    <row r="49" spans="1:4" x14ac:dyDescent="0.2">
      <c r="A49" t="s">
        <v>589</v>
      </c>
      <c r="B49" s="7">
        <v>2017</v>
      </c>
      <c r="C49" s="3" t="s">
        <v>613</v>
      </c>
      <c r="D49" s="2">
        <v>2256.8144782999848</v>
      </c>
    </row>
    <row r="50" spans="1:4" x14ac:dyDescent="0.2">
      <c r="A50" t="s">
        <v>589</v>
      </c>
      <c r="B50" s="7">
        <v>2018</v>
      </c>
      <c r="C50" s="3" t="s">
        <v>613</v>
      </c>
      <c r="D50" s="2">
        <v>1106.4830833761459</v>
      </c>
    </row>
    <row r="51" spans="1:4" x14ac:dyDescent="0.2">
      <c r="A51" t="s">
        <v>589</v>
      </c>
      <c r="B51" s="7">
        <v>2019</v>
      </c>
      <c r="C51" s="3" t="s">
        <v>613</v>
      </c>
      <c r="D51" s="2">
        <v>1941.7633063563983</v>
      </c>
    </row>
    <row r="52" spans="1:4" x14ac:dyDescent="0.2">
      <c r="A52" t="s">
        <v>589</v>
      </c>
      <c r="B52" s="7">
        <v>2020</v>
      </c>
      <c r="C52" s="3" t="s">
        <v>613</v>
      </c>
      <c r="D52" s="2">
        <v>1186.5767030265683</v>
      </c>
    </row>
    <row r="53" spans="1:4" x14ac:dyDescent="0.2">
      <c r="A53" t="s">
        <v>589</v>
      </c>
      <c r="B53" s="7">
        <v>2021</v>
      </c>
      <c r="C53" s="3" t="s">
        <v>613</v>
      </c>
      <c r="D53" s="2">
        <v>2423.7700767170677</v>
      </c>
    </row>
    <row r="54" spans="1:4" x14ac:dyDescent="0.2">
      <c r="A54" t="s">
        <v>589</v>
      </c>
      <c r="B54" s="7">
        <v>2022</v>
      </c>
      <c r="C54" s="3" t="s">
        <v>613</v>
      </c>
      <c r="D54" s="2">
        <v>1889.1449387523712</v>
      </c>
    </row>
    <row r="55" spans="1:4" x14ac:dyDescent="0.2">
      <c r="A55" t="s">
        <v>589</v>
      </c>
      <c r="B55" s="7">
        <v>2023</v>
      </c>
      <c r="C55" s="3" t="s">
        <v>613</v>
      </c>
      <c r="D55" s="2">
        <v>973.55671028735333</v>
      </c>
    </row>
    <row r="56" spans="1:4" x14ac:dyDescent="0.2">
      <c r="A56" t="s">
        <v>589</v>
      </c>
      <c r="B56" s="7">
        <v>2024</v>
      </c>
      <c r="C56" s="3" t="s">
        <v>613</v>
      </c>
      <c r="D56" s="2">
        <v>1563.741062287221</v>
      </c>
    </row>
    <row r="57" spans="1:4" x14ac:dyDescent="0.2">
      <c r="A57" t="s">
        <v>589</v>
      </c>
      <c r="B57" s="7">
        <v>1970</v>
      </c>
      <c r="C57" s="3" t="s">
        <v>614</v>
      </c>
      <c r="D57" s="6">
        <v>12.357585832741663</v>
      </c>
    </row>
    <row r="58" spans="1:4" x14ac:dyDescent="0.2">
      <c r="A58" t="s">
        <v>589</v>
      </c>
      <c r="B58" s="7">
        <v>1971</v>
      </c>
      <c r="C58" s="3" t="s">
        <v>614</v>
      </c>
      <c r="D58" s="6">
        <v>14.682921815914053</v>
      </c>
    </row>
    <row r="59" spans="1:4" x14ac:dyDescent="0.2">
      <c r="A59" t="s">
        <v>589</v>
      </c>
      <c r="B59" s="7">
        <v>1972</v>
      </c>
      <c r="C59" s="3" t="s">
        <v>614</v>
      </c>
      <c r="D59" s="6">
        <v>16.31121527575926</v>
      </c>
    </row>
    <row r="60" spans="1:4" x14ac:dyDescent="0.2">
      <c r="A60" t="s">
        <v>589</v>
      </c>
      <c r="B60" s="7">
        <v>1973</v>
      </c>
      <c r="C60" s="3" t="s">
        <v>614</v>
      </c>
      <c r="D60" s="6">
        <v>23.614514724117058</v>
      </c>
    </row>
    <row r="61" spans="1:4" x14ac:dyDescent="0.2">
      <c r="A61" t="s">
        <v>589</v>
      </c>
      <c r="B61" s="7">
        <v>1974</v>
      </c>
      <c r="C61" s="3" t="s">
        <v>614</v>
      </c>
      <c r="D61" s="6">
        <v>31.711438949238246</v>
      </c>
    </row>
    <row r="62" spans="1:4" x14ac:dyDescent="0.2">
      <c r="A62" t="s">
        <v>589</v>
      </c>
      <c r="B62" s="7">
        <v>1975</v>
      </c>
      <c r="C62" s="3" t="s">
        <v>614</v>
      </c>
      <c r="D62" s="6">
        <v>39.64029493828815</v>
      </c>
    </row>
    <row r="63" spans="1:4" x14ac:dyDescent="0.2">
      <c r="A63" t="s">
        <v>589</v>
      </c>
      <c r="B63" s="7">
        <v>1976</v>
      </c>
      <c r="C63" s="3" t="s">
        <v>614</v>
      </c>
      <c r="D63" s="6">
        <v>34.871442044471657</v>
      </c>
    </row>
    <row r="64" spans="1:4" x14ac:dyDescent="0.2">
      <c r="A64" t="s">
        <v>589</v>
      </c>
      <c r="B64" s="7">
        <v>1977</v>
      </c>
      <c r="C64" s="3" t="s">
        <v>614</v>
      </c>
      <c r="D64" s="6">
        <v>50.178112900762486</v>
      </c>
    </row>
    <row r="65" spans="1:4" x14ac:dyDescent="0.2">
      <c r="A65" t="s">
        <v>589</v>
      </c>
      <c r="B65" s="7">
        <v>1978</v>
      </c>
      <c r="C65" s="3" t="s">
        <v>614</v>
      </c>
      <c r="D65" s="6">
        <v>68.548140716383259</v>
      </c>
    </row>
    <row r="66" spans="1:4" x14ac:dyDescent="0.2">
      <c r="A66" t="s">
        <v>589</v>
      </c>
      <c r="B66" s="7">
        <v>1979</v>
      </c>
      <c r="C66" s="3" t="s">
        <v>614</v>
      </c>
      <c r="D66" s="6">
        <v>91.868832105355949</v>
      </c>
    </row>
    <row r="67" spans="1:4" x14ac:dyDescent="0.2">
      <c r="A67" t="s">
        <v>589</v>
      </c>
      <c r="B67" s="7">
        <v>1980</v>
      </c>
      <c r="C67" s="3" t="s">
        <v>614</v>
      </c>
      <c r="D67" s="6">
        <v>130.43683689002609</v>
      </c>
    </row>
    <row r="68" spans="1:4" x14ac:dyDescent="0.2">
      <c r="A68" t="s">
        <v>589</v>
      </c>
      <c r="B68" s="7">
        <v>1981</v>
      </c>
      <c r="C68" s="3" t="s">
        <v>614</v>
      </c>
      <c r="D68" s="6">
        <v>192.14589629062249</v>
      </c>
    </row>
    <row r="69" spans="1:4" x14ac:dyDescent="0.2">
      <c r="A69" t="s">
        <v>589</v>
      </c>
      <c r="B69" s="7">
        <v>1982</v>
      </c>
      <c r="C69" s="3" t="s">
        <v>614</v>
      </c>
      <c r="D69" s="6">
        <v>197.20049212032666</v>
      </c>
    </row>
    <row r="70" spans="1:4" x14ac:dyDescent="0.2">
      <c r="A70" t="s">
        <v>589</v>
      </c>
      <c r="B70" s="7">
        <v>1983</v>
      </c>
      <c r="C70" s="3" t="s">
        <v>614</v>
      </c>
      <c r="D70" s="6">
        <v>174.49080402301485</v>
      </c>
    </row>
    <row r="71" spans="1:4" x14ac:dyDescent="0.2">
      <c r="A71" t="s">
        <v>589</v>
      </c>
      <c r="B71" s="7">
        <v>1984</v>
      </c>
      <c r="C71" s="3" t="s">
        <v>614</v>
      </c>
      <c r="D71" s="6">
        <v>211.76305996335333</v>
      </c>
    </row>
    <row r="72" spans="1:4" x14ac:dyDescent="0.2">
      <c r="A72" t="s">
        <v>589</v>
      </c>
      <c r="B72" s="7">
        <v>1985</v>
      </c>
      <c r="C72" s="3" t="s">
        <v>614</v>
      </c>
      <c r="D72" s="6">
        <v>171.85529516826887</v>
      </c>
    </row>
    <row r="73" spans="1:4" x14ac:dyDescent="0.2">
      <c r="A73" t="s">
        <v>589</v>
      </c>
      <c r="B73" s="7">
        <v>1986</v>
      </c>
      <c r="C73" s="3" t="s">
        <v>614</v>
      </c>
      <c r="D73" s="6">
        <v>329.82138826037891</v>
      </c>
    </row>
    <row r="74" spans="1:4" x14ac:dyDescent="0.2">
      <c r="A74" t="s">
        <v>589</v>
      </c>
      <c r="B74" s="7">
        <v>1987</v>
      </c>
      <c r="C74" s="3" t="s">
        <v>614</v>
      </c>
      <c r="D74" s="6">
        <v>592.24763240987409</v>
      </c>
    </row>
    <row r="75" spans="1:4" x14ac:dyDescent="0.2">
      <c r="A75" t="s">
        <v>589</v>
      </c>
      <c r="B75" s="7">
        <v>1988</v>
      </c>
      <c r="C75" s="3" t="s">
        <v>614</v>
      </c>
      <c r="D75" s="6">
        <v>754.75029346819247</v>
      </c>
    </row>
    <row r="76" spans="1:4" x14ac:dyDescent="0.2">
      <c r="A76" t="s">
        <v>589</v>
      </c>
      <c r="B76" s="7">
        <v>1989</v>
      </c>
      <c r="C76" s="3" t="s">
        <v>614</v>
      </c>
      <c r="D76" s="6">
        <v>969.93709501800572</v>
      </c>
    </row>
    <row r="77" spans="1:4" x14ac:dyDescent="0.2">
      <c r="A77" t="s">
        <v>589</v>
      </c>
      <c r="B77" s="7">
        <v>1990</v>
      </c>
      <c r="C77" s="3" t="s">
        <v>614</v>
      </c>
      <c r="D77" s="6">
        <v>1243.0725792464661</v>
      </c>
    </row>
    <row r="78" spans="1:4" x14ac:dyDescent="0.2">
      <c r="A78" t="s">
        <v>589</v>
      </c>
      <c r="B78" s="7">
        <v>1991</v>
      </c>
      <c r="C78" s="3" t="s">
        <v>614</v>
      </c>
      <c r="D78" s="6">
        <v>980.86555128723262</v>
      </c>
    </row>
    <row r="79" spans="1:4" x14ac:dyDescent="0.2">
      <c r="A79" t="s">
        <v>589</v>
      </c>
      <c r="B79" s="7">
        <v>1992</v>
      </c>
      <c r="C79" s="3" t="s">
        <v>614</v>
      </c>
      <c r="D79" s="6">
        <v>1134.8255543359865</v>
      </c>
    </row>
    <row r="80" spans="1:4" x14ac:dyDescent="0.2">
      <c r="A80" t="s">
        <v>589</v>
      </c>
      <c r="B80" s="7">
        <v>1993</v>
      </c>
      <c r="C80" s="3" t="s">
        <v>614</v>
      </c>
      <c r="D80" s="6">
        <v>1528.6095957587938</v>
      </c>
    </row>
    <row r="81" spans="1:4" x14ac:dyDescent="0.2">
      <c r="A81" t="s">
        <v>589</v>
      </c>
      <c r="B81" s="7">
        <v>1994</v>
      </c>
      <c r="C81" s="3" t="s">
        <v>614</v>
      </c>
      <c r="D81" s="6">
        <v>1970.6417313549186</v>
      </c>
    </row>
    <row r="82" spans="1:4" x14ac:dyDescent="0.2">
      <c r="A82" t="s">
        <v>589</v>
      </c>
      <c r="B82" s="7">
        <v>1995</v>
      </c>
      <c r="C82" s="3" t="s">
        <v>614</v>
      </c>
      <c r="D82" s="6">
        <v>2809.6907413563008</v>
      </c>
    </row>
    <row r="83" spans="1:4" x14ac:dyDescent="0.2">
      <c r="A83" t="s">
        <v>589</v>
      </c>
      <c r="B83" s="7">
        <v>1996</v>
      </c>
      <c r="C83" s="3" t="s">
        <v>614</v>
      </c>
      <c r="D83" s="6">
        <v>3525.3569939849049</v>
      </c>
    </row>
    <row r="84" spans="1:4" x14ac:dyDescent="0.2">
      <c r="A84" t="s">
        <v>589</v>
      </c>
      <c r="B84" s="7">
        <v>1997</v>
      </c>
      <c r="C84" s="3" t="s">
        <v>614</v>
      </c>
      <c r="D84" s="6">
        <v>4804.4193634442008</v>
      </c>
    </row>
    <row r="85" spans="1:4" x14ac:dyDescent="0.2">
      <c r="A85" t="s">
        <v>589</v>
      </c>
      <c r="B85" s="7">
        <v>1998</v>
      </c>
      <c r="C85" s="3" t="s">
        <v>614</v>
      </c>
      <c r="D85" s="6">
        <v>7474.8840732919798</v>
      </c>
    </row>
    <row r="86" spans="1:4" x14ac:dyDescent="0.2">
      <c r="A86" t="s">
        <v>589</v>
      </c>
      <c r="B86" s="7">
        <v>1999</v>
      </c>
      <c r="C86" s="3" t="s">
        <v>614</v>
      </c>
      <c r="D86" s="6">
        <v>11839.52737098889</v>
      </c>
    </row>
    <row r="87" spans="1:4" x14ac:dyDescent="0.2">
      <c r="A87" t="s">
        <v>589</v>
      </c>
      <c r="B87" s="7">
        <v>2000</v>
      </c>
      <c r="C87" s="3" t="s">
        <v>614</v>
      </c>
      <c r="D87" s="6">
        <v>16107.264006793359</v>
      </c>
    </row>
    <row r="88" spans="1:4" x14ac:dyDescent="0.2">
      <c r="A88" t="s">
        <v>589</v>
      </c>
      <c r="B88" s="7">
        <v>2001</v>
      </c>
      <c r="C88" s="3" t="s">
        <v>614</v>
      </c>
      <c r="D88" s="6">
        <v>9646.8249767360794</v>
      </c>
    </row>
    <row r="89" spans="1:4" x14ac:dyDescent="0.2">
      <c r="A89" t="s">
        <v>589</v>
      </c>
      <c r="B89" s="7">
        <v>2002</v>
      </c>
      <c r="C89" s="3" t="s">
        <v>614</v>
      </c>
      <c r="D89" s="6">
        <v>8416.543488494437</v>
      </c>
    </row>
    <row r="90" spans="1:4" x14ac:dyDescent="0.2">
      <c r="A90" t="s">
        <v>589</v>
      </c>
      <c r="B90" s="7">
        <v>2003</v>
      </c>
      <c r="C90" s="3" t="s">
        <v>614</v>
      </c>
      <c r="D90" s="6">
        <v>8543.3796596470893</v>
      </c>
    </row>
    <row r="91" spans="1:4" x14ac:dyDescent="0.2">
      <c r="A91" t="s">
        <v>589</v>
      </c>
      <c r="B91" s="7">
        <v>2004</v>
      </c>
      <c r="C91" s="3" t="s">
        <v>614</v>
      </c>
      <c r="D91" s="6">
        <v>12166.797371954299</v>
      </c>
    </row>
    <row r="92" spans="1:4" x14ac:dyDescent="0.2">
      <c r="A92" t="s">
        <v>589</v>
      </c>
      <c r="B92" s="7">
        <v>2005</v>
      </c>
      <c r="C92" s="3" t="s">
        <v>614</v>
      </c>
      <c r="D92" s="6">
        <v>19814.525452494658</v>
      </c>
    </row>
    <row r="93" spans="1:4" x14ac:dyDescent="0.2">
      <c r="A93" t="s">
        <v>589</v>
      </c>
      <c r="B93" s="7">
        <v>2006</v>
      </c>
      <c r="C93" s="3" t="s">
        <v>614</v>
      </c>
      <c r="D93" s="6">
        <v>29516.208776567848</v>
      </c>
    </row>
    <row r="94" spans="1:4" x14ac:dyDescent="0.2">
      <c r="A94" t="s">
        <v>589</v>
      </c>
      <c r="B94" s="7">
        <v>2007</v>
      </c>
      <c r="C94" s="3" t="s">
        <v>614</v>
      </c>
      <c r="D94" s="6">
        <v>44382.79305116021</v>
      </c>
    </row>
    <row r="95" spans="1:4" x14ac:dyDescent="0.2">
      <c r="A95" t="s">
        <v>589</v>
      </c>
      <c r="B95" s="7">
        <v>2008</v>
      </c>
      <c r="C95" s="3" t="s">
        <v>614</v>
      </c>
      <c r="D95" s="6">
        <v>36782.487679027312</v>
      </c>
    </row>
    <row r="96" spans="1:4" x14ac:dyDescent="0.2">
      <c r="A96" t="s">
        <v>589</v>
      </c>
      <c r="B96" s="7">
        <v>2009</v>
      </c>
      <c r="C96" s="3" t="s">
        <v>614</v>
      </c>
      <c r="D96" s="6">
        <v>24677.015159579762</v>
      </c>
    </row>
    <row r="97" spans="1:4" x14ac:dyDescent="0.2">
      <c r="A97" t="s">
        <v>589</v>
      </c>
      <c r="B97" s="7">
        <v>2010</v>
      </c>
      <c r="C97" s="3" t="s">
        <v>614</v>
      </c>
      <c r="D97" s="6">
        <v>30624.113330279441</v>
      </c>
    </row>
    <row r="98" spans="1:4" x14ac:dyDescent="0.2">
      <c r="A98" t="s">
        <v>589</v>
      </c>
      <c r="B98" s="7">
        <v>2011</v>
      </c>
      <c r="C98" s="3" t="s">
        <v>614</v>
      </c>
      <c r="D98" s="6">
        <v>41355.189158801302</v>
      </c>
    </row>
    <row r="99" spans="1:4" x14ac:dyDescent="0.2">
      <c r="A99" t="s">
        <v>589</v>
      </c>
      <c r="B99" s="7">
        <v>2012</v>
      </c>
      <c r="C99" s="3" t="s">
        <v>614</v>
      </c>
      <c r="D99" s="6">
        <v>37791.28620301019</v>
      </c>
    </row>
    <row r="100" spans="1:4" x14ac:dyDescent="0.2">
      <c r="A100" t="s">
        <v>589</v>
      </c>
      <c r="B100" s="7">
        <v>2013</v>
      </c>
      <c r="C100" s="3" t="s">
        <v>614</v>
      </c>
      <c r="D100" s="6">
        <v>40983.443964807535</v>
      </c>
    </row>
    <row r="101" spans="1:4" x14ac:dyDescent="0.2">
      <c r="A101" t="s">
        <v>589</v>
      </c>
      <c r="B101" s="7">
        <v>2014</v>
      </c>
      <c r="C101" s="3" t="s">
        <v>614</v>
      </c>
      <c r="D101" s="6">
        <v>38030.225434374312</v>
      </c>
    </row>
    <row r="102" spans="1:4" x14ac:dyDescent="0.2">
      <c r="A102" t="s">
        <v>589</v>
      </c>
      <c r="B102" s="7">
        <v>2015</v>
      </c>
      <c r="C102" s="3" t="s">
        <v>614</v>
      </c>
      <c r="D102" s="6">
        <v>55089.623779112284</v>
      </c>
    </row>
    <row r="103" spans="1:4" x14ac:dyDescent="0.2">
      <c r="A103" t="s">
        <v>589</v>
      </c>
      <c r="B103" s="7">
        <v>2016</v>
      </c>
      <c r="C103" s="3" t="s">
        <v>614</v>
      </c>
      <c r="D103" s="6">
        <v>55472.696224401727</v>
      </c>
    </row>
    <row r="104" spans="1:4" x14ac:dyDescent="0.2">
      <c r="A104" t="s">
        <v>589</v>
      </c>
      <c r="B104" s="7">
        <v>2017</v>
      </c>
      <c r="C104" s="3" t="s">
        <v>614</v>
      </c>
      <c r="D104" s="6">
        <v>46416.502208263941</v>
      </c>
    </row>
    <row r="105" spans="1:4" x14ac:dyDescent="0.2">
      <c r="A105" t="s">
        <v>589</v>
      </c>
      <c r="B105" s="7">
        <v>2018</v>
      </c>
      <c r="C105" s="3" t="s">
        <v>614</v>
      </c>
      <c r="D105" s="6">
        <v>23433.291506806574</v>
      </c>
    </row>
    <row r="106" spans="1:4" x14ac:dyDescent="0.2">
      <c r="A106" t="s">
        <v>589</v>
      </c>
      <c r="B106" s="7">
        <v>2019</v>
      </c>
      <c r="C106" s="3" t="s">
        <v>614</v>
      </c>
      <c r="D106" s="6">
        <v>42270.196478990365</v>
      </c>
    </row>
    <row r="107" spans="1:4" x14ac:dyDescent="0.2">
      <c r="A107" t="s">
        <v>589</v>
      </c>
      <c r="B107" s="7">
        <v>2020</v>
      </c>
      <c r="C107" s="3" t="s">
        <v>614</v>
      </c>
      <c r="D107" s="6">
        <v>26434.513652929305</v>
      </c>
    </row>
    <row r="108" spans="1:4" x14ac:dyDescent="0.2">
      <c r="A108" t="s">
        <v>589</v>
      </c>
      <c r="B108" s="7">
        <v>2021</v>
      </c>
      <c r="C108" s="3" t="s">
        <v>614</v>
      </c>
      <c r="D108" s="6">
        <v>55023.396009554686</v>
      </c>
    </row>
    <row r="109" spans="1:4" x14ac:dyDescent="0.2">
      <c r="A109" t="s">
        <v>589</v>
      </c>
      <c r="B109" s="7">
        <v>2022</v>
      </c>
      <c r="C109" s="3" t="s">
        <v>614</v>
      </c>
      <c r="D109" s="6">
        <v>44869.944476366873</v>
      </c>
    </row>
    <row r="110" spans="1:4" x14ac:dyDescent="0.2">
      <c r="A110" t="s">
        <v>589</v>
      </c>
      <c r="B110" s="7">
        <v>2023</v>
      </c>
      <c r="C110" s="3" t="s">
        <v>614</v>
      </c>
      <c r="D110" s="6">
        <v>24777.917591194473</v>
      </c>
    </row>
    <row r="111" spans="1:4" x14ac:dyDescent="0.2">
      <c r="A111" t="s">
        <v>589</v>
      </c>
      <c r="B111" s="7">
        <v>2024</v>
      </c>
      <c r="C111" s="3" t="s">
        <v>614</v>
      </c>
      <c r="D111" s="6">
        <v>41898.930871546989</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2F3C-156A-5146-AFD7-9018A00B6090}">
  <dimension ref="A1:D111"/>
  <sheetViews>
    <sheetView workbookViewId="0">
      <selection activeCell="F14" sqref="F14"/>
    </sheetView>
  </sheetViews>
  <sheetFormatPr baseColWidth="10" defaultRowHeight="16" x14ac:dyDescent="0.2"/>
  <cols>
    <col min="1" max="1" width="10.1640625" bestFit="1" customWidth="1"/>
    <col min="2" max="2" width="7.33203125" bestFit="1" customWidth="1"/>
    <col min="3" max="3" width="93.5" bestFit="1" customWidth="1"/>
    <col min="4" max="4" width="11.33203125" bestFit="1" customWidth="1"/>
  </cols>
  <sheetData>
    <row r="1" spans="1:4" x14ac:dyDescent="0.2">
      <c r="A1" t="s">
        <v>604</v>
      </c>
      <c r="B1" t="s">
        <v>603</v>
      </c>
      <c r="C1" t="s">
        <v>610</v>
      </c>
      <c r="D1" s="2" t="s">
        <v>611</v>
      </c>
    </row>
    <row r="2" spans="1:4" x14ac:dyDescent="0.2">
      <c r="A2" t="s">
        <v>589</v>
      </c>
      <c r="B2" s="7">
        <v>1970</v>
      </c>
      <c r="C2" s="3" t="s">
        <v>614</v>
      </c>
      <c r="D2" s="6">
        <v>12.357585832741663</v>
      </c>
    </row>
    <row r="3" spans="1:4" x14ac:dyDescent="0.2">
      <c r="A3" t="s">
        <v>589</v>
      </c>
      <c r="B3" s="7">
        <v>1971</v>
      </c>
      <c r="C3" s="3" t="s">
        <v>614</v>
      </c>
      <c r="D3" s="6">
        <v>14.682921815914053</v>
      </c>
    </row>
    <row r="4" spans="1:4" x14ac:dyDescent="0.2">
      <c r="A4" t="s">
        <v>589</v>
      </c>
      <c r="B4" s="7">
        <v>1972</v>
      </c>
      <c r="C4" s="3" t="s">
        <v>614</v>
      </c>
      <c r="D4" s="6">
        <v>16.31121527575926</v>
      </c>
    </row>
    <row r="5" spans="1:4" x14ac:dyDescent="0.2">
      <c r="A5" t="s">
        <v>589</v>
      </c>
      <c r="B5" s="7">
        <v>1973</v>
      </c>
      <c r="C5" s="3" t="s">
        <v>614</v>
      </c>
      <c r="D5" s="6">
        <v>23.614514724117058</v>
      </c>
    </row>
    <row r="6" spans="1:4" x14ac:dyDescent="0.2">
      <c r="A6" t="s">
        <v>589</v>
      </c>
      <c r="B6" s="7">
        <v>1974</v>
      </c>
      <c r="C6" s="3" t="s">
        <v>614</v>
      </c>
      <c r="D6" s="6">
        <v>31.711438949238246</v>
      </c>
    </row>
    <row r="7" spans="1:4" x14ac:dyDescent="0.2">
      <c r="A7" t="s">
        <v>589</v>
      </c>
      <c r="B7" s="7">
        <v>1975</v>
      </c>
      <c r="C7" s="3" t="s">
        <v>614</v>
      </c>
      <c r="D7" s="6">
        <v>39.64029493828815</v>
      </c>
    </row>
    <row r="8" spans="1:4" x14ac:dyDescent="0.2">
      <c r="A8" t="s">
        <v>589</v>
      </c>
      <c r="B8" s="7">
        <v>1976</v>
      </c>
      <c r="C8" s="3" t="s">
        <v>614</v>
      </c>
      <c r="D8" s="6">
        <v>34.871442044471657</v>
      </c>
    </row>
    <row r="9" spans="1:4" x14ac:dyDescent="0.2">
      <c r="A9" t="s">
        <v>589</v>
      </c>
      <c r="B9" s="7">
        <v>1977</v>
      </c>
      <c r="C9" s="3" t="s">
        <v>614</v>
      </c>
      <c r="D9" s="6">
        <v>50.178112900762486</v>
      </c>
    </row>
    <row r="10" spans="1:4" x14ac:dyDescent="0.2">
      <c r="A10" t="s">
        <v>589</v>
      </c>
      <c r="B10" s="7">
        <v>1978</v>
      </c>
      <c r="C10" s="3" t="s">
        <v>614</v>
      </c>
      <c r="D10" s="6">
        <v>68.548140716383259</v>
      </c>
    </row>
    <row r="11" spans="1:4" x14ac:dyDescent="0.2">
      <c r="A11" t="s">
        <v>589</v>
      </c>
      <c r="B11" s="7">
        <v>1979</v>
      </c>
      <c r="C11" s="3" t="s">
        <v>614</v>
      </c>
      <c r="D11" s="6">
        <v>91.868832105355949</v>
      </c>
    </row>
    <row r="12" spans="1:4" x14ac:dyDescent="0.2">
      <c r="A12" t="s">
        <v>589</v>
      </c>
      <c r="B12" s="7">
        <v>1980</v>
      </c>
      <c r="C12" s="3" t="s">
        <v>614</v>
      </c>
      <c r="D12" s="6">
        <v>130.43683689002609</v>
      </c>
    </row>
    <row r="13" spans="1:4" x14ac:dyDescent="0.2">
      <c r="A13" t="s">
        <v>589</v>
      </c>
      <c r="B13" s="7">
        <v>1981</v>
      </c>
      <c r="C13" s="3" t="s">
        <v>614</v>
      </c>
      <c r="D13" s="6">
        <v>192.14589629062249</v>
      </c>
    </row>
    <row r="14" spans="1:4" x14ac:dyDescent="0.2">
      <c r="A14" t="s">
        <v>589</v>
      </c>
      <c r="B14" s="7">
        <v>1982</v>
      </c>
      <c r="C14" s="3" t="s">
        <v>614</v>
      </c>
      <c r="D14" s="6">
        <v>197.20049212032666</v>
      </c>
    </row>
    <row r="15" spans="1:4" x14ac:dyDescent="0.2">
      <c r="A15" t="s">
        <v>589</v>
      </c>
      <c r="B15" s="7">
        <v>1983</v>
      </c>
      <c r="C15" s="3" t="s">
        <v>614</v>
      </c>
      <c r="D15" s="6">
        <v>174.49080402301485</v>
      </c>
    </row>
    <row r="16" spans="1:4" x14ac:dyDescent="0.2">
      <c r="A16" t="s">
        <v>589</v>
      </c>
      <c r="B16" s="7">
        <v>1984</v>
      </c>
      <c r="C16" s="3" t="s">
        <v>614</v>
      </c>
      <c r="D16" s="6">
        <v>211.76305996335333</v>
      </c>
    </row>
    <row r="17" spans="1:4" x14ac:dyDescent="0.2">
      <c r="A17" t="s">
        <v>589</v>
      </c>
      <c r="B17" s="7">
        <v>1985</v>
      </c>
      <c r="C17" s="3" t="s">
        <v>614</v>
      </c>
      <c r="D17" s="6">
        <v>171.85529516826887</v>
      </c>
    </row>
    <row r="18" spans="1:4" x14ac:dyDescent="0.2">
      <c r="A18" t="s">
        <v>589</v>
      </c>
      <c r="B18" s="7">
        <v>1986</v>
      </c>
      <c r="C18" s="3" t="s">
        <v>614</v>
      </c>
      <c r="D18" s="6">
        <v>329.82138826037891</v>
      </c>
    </row>
    <row r="19" spans="1:4" x14ac:dyDescent="0.2">
      <c r="A19" t="s">
        <v>589</v>
      </c>
      <c r="B19" s="7">
        <v>1987</v>
      </c>
      <c r="C19" s="3" t="s">
        <v>614</v>
      </c>
      <c r="D19" s="6">
        <v>592.24763240987409</v>
      </c>
    </row>
    <row r="20" spans="1:4" x14ac:dyDescent="0.2">
      <c r="A20" t="s">
        <v>589</v>
      </c>
      <c r="B20" s="7">
        <v>1988</v>
      </c>
      <c r="C20" s="3" t="s">
        <v>614</v>
      </c>
      <c r="D20" s="6">
        <v>754.75029346819247</v>
      </c>
    </row>
    <row r="21" spans="1:4" x14ac:dyDescent="0.2">
      <c r="A21" t="s">
        <v>589</v>
      </c>
      <c r="B21" s="7">
        <v>1989</v>
      </c>
      <c r="C21" s="3" t="s">
        <v>614</v>
      </c>
      <c r="D21" s="6">
        <v>969.93709501800572</v>
      </c>
    </row>
    <row r="22" spans="1:4" x14ac:dyDescent="0.2">
      <c r="A22" t="s">
        <v>589</v>
      </c>
      <c r="B22" s="7">
        <v>1990</v>
      </c>
      <c r="C22" s="3" t="s">
        <v>614</v>
      </c>
      <c r="D22" s="6">
        <v>1243.0725792464661</v>
      </c>
    </row>
    <row r="23" spans="1:4" x14ac:dyDescent="0.2">
      <c r="A23" t="s">
        <v>589</v>
      </c>
      <c r="B23" s="7">
        <v>1991</v>
      </c>
      <c r="C23" s="3" t="s">
        <v>614</v>
      </c>
      <c r="D23" s="6">
        <v>980.86555128723262</v>
      </c>
    </row>
    <row r="24" spans="1:4" x14ac:dyDescent="0.2">
      <c r="A24" t="s">
        <v>589</v>
      </c>
      <c r="B24" s="7">
        <v>1992</v>
      </c>
      <c r="C24" s="3" t="s">
        <v>614</v>
      </c>
      <c r="D24" s="6">
        <v>1134.8255543359865</v>
      </c>
    </row>
    <row r="25" spans="1:4" x14ac:dyDescent="0.2">
      <c r="A25" t="s">
        <v>589</v>
      </c>
      <c r="B25" s="7">
        <v>1993</v>
      </c>
      <c r="C25" s="3" t="s">
        <v>614</v>
      </c>
      <c r="D25" s="6">
        <v>1528.6095957587938</v>
      </c>
    </row>
    <row r="26" spans="1:4" x14ac:dyDescent="0.2">
      <c r="A26" t="s">
        <v>589</v>
      </c>
      <c r="B26" s="7">
        <v>1994</v>
      </c>
      <c r="C26" s="3" t="s">
        <v>614</v>
      </c>
      <c r="D26" s="6">
        <v>1970.6417313549186</v>
      </c>
    </row>
    <row r="27" spans="1:4" x14ac:dyDescent="0.2">
      <c r="A27" t="s">
        <v>589</v>
      </c>
      <c r="B27" s="7">
        <v>1995</v>
      </c>
      <c r="C27" s="3" t="s">
        <v>614</v>
      </c>
      <c r="D27" s="6">
        <v>2809.6907413563008</v>
      </c>
    </row>
    <row r="28" spans="1:4" x14ac:dyDescent="0.2">
      <c r="A28" t="s">
        <v>589</v>
      </c>
      <c r="B28" s="7">
        <v>1996</v>
      </c>
      <c r="C28" s="3" t="s">
        <v>614</v>
      </c>
      <c r="D28" s="6">
        <v>3525.3569939849049</v>
      </c>
    </row>
    <row r="29" spans="1:4" x14ac:dyDescent="0.2">
      <c r="A29" t="s">
        <v>589</v>
      </c>
      <c r="B29" s="7">
        <v>1997</v>
      </c>
      <c r="C29" s="3" t="s">
        <v>614</v>
      </c>
      <c r="D29" s="6">
        <v>4804.4193634442008</v>
      </c>
    </row>
    <row r="30" spans="1:4" x14ac:dyDescent="0.2">
      <c r="A30" t="s">
        <v>589</v>
      </c>
      <c r="B30" s="7">
        <v>1998</v>
      </c>
      <c r="C30" s="3" t="s">
        <v>614</v>
      </c>
      <c r="D30" s="6">
        <v>7474.8840732919798</v>
      </c>
    </row>
    <row r="31" spans="1:4" x14ac:dyDescent="0.2">
      <c r="A31" t="s">
        <v>589</v>
      </c>
      <c r="B31" s="7">
        <v>1999</v>
      </c>
      <c r="C31" s="3" t="s">
        <v>614</v>
      </c>
      <c r="D31" s="6">
        <v>11839.52737098889</v>
      </c>
    </row>
    <row r="32" spans="1:4" x14ac:dyDescent="0.2">
      <c r="A32" t="s">
        <v>589</v>
      </c>
      <c r="B32" s="7">
        <v>2000</v>
      </c>
      <c r="C32" s="3" t="s">
        <v>614</v>
      </c>
      <c r="D32" s="6">
        <v>16107.264006793359</v>
      </c>
    </row>
    <row r="33" spans="1:4" x14ac:dyDescent="0.2">
      <c r="A33" t="s">
        <v>589</v>
      </c>
      <c r="B33" s="7">
        <v>2001</v>
      </c>
      <c r="C33" s="3" t="s">
        <v>614</v>
      </c>
      <c r="D33" s="6">
        <v>9646.8249767360794</v>
      </c>
    </row>
    <row r="34" spans="1:4" x14ac:dyDescent="0.2">
      <c r="A34" t="s">
        <v>589</v>
      </c>
      <c r="B34" s="7">
        <v>2002</v>
      </c>
      <c r="C34" s="3" t="s">
        <v>614</v>
      </c>
      <c r="D34" s="6">
        <v>8416.543488494437</v>
      </c>
    </row>
    <row r="35" spans="1:4" x14ac:dyDescent="0.2">
      <c r="A35" t="s">
        <v>589</v>
      </c>
      <c r="B35" s="7">
        <v>2003</v>
      </c>
      <c r="C35" s="3" t="s">
        <v>614</v>
      </c>
      <c r="D35" s="6">
        <v>8543.3796596470893</v>
      </c>
    </row>
    <row r="36" spans="1:4" x14ac:dyDescent="0.2">
      <c r="A36" t="s">
        <v>589</v>
      </c>
      <c r="B36" s="7">
        <v>2004</v>
      </c>
      <c r="C36" s="3" t="s">
        <v>614</v>
      </c>
      <c r="D36" s="6">
        <v>12166.797371954299</v>
      </c>
    </row>
    <row r="37" spans="1:4" x14ac:dyDescent="0.2">
      <c r="A37" t="s">
        <v>589</v>
      </c>
      <c r="B37" s="7">
        <v>2005</v>
      </c>
      <c r="C37" s="3" t="s">
        <v>614</v>
      </c>
      <c r="D37" s="6">
        <v>19814.525452494658</v>
      </c>
    </row>
    <row r="38" spans="1:4" x14ac:dyDescent="0.2">
      <c r="A38" t="s">
        <v>589</v>
      </c>
      <c r="B38" s="7">
        <v>2006</v>
      </c>
      <c r="C38" s="3" t="s">
        <v>614</v>
      </c>
      <c r="D38" s="6">
        <v>29516.208776567848</v>
      </c>
    </row>
    <row r="39" spans="1:4" x14ac:dyDescent="0.2">
      <c r="A39" t="s">
        <v>589</v>
      </c>
      <c r="B39" s="7">
        <v>2007</v>
      </c>
      <c r="C39" s="3" t="s">
        <v>614</v>
      </c>
      <c r="D39" s="6">
        <v>44382.79305116021</v>
      </c>
    </row>
    <row r="40" spans="1:4" x14ac:dyDescent="0.2">
      <c r="A40" t="s">
        <v>589</v>
      </c>
      <c r="B40" s="7">
        <v>2008</v>
      </c>
      <c r="C40" s="3" t="s">
        <v>614</v>
      </c>
      <c r="D40" s="6">
        <v>36782.487679027312</v>
      </c>
    </row>
    <row r="41" spans="1:4" x14ac:dyDescent="0.2">
      <c r="A41" t="s">
        <v>589</v>
      </c>
      <c r="B41" s="7">
        <v>2009</v>
      </c>
      <c r="C41" s="3" t="s">
        <v>614</v>
      </c>
      <c r="D41" s="6">
        <v>24677.015159579762</v>
      </c>
    </row>
    <row r="42" spans="1:4" x14ac:dyDescent="0.2">
      <c r="A42" t="s">
        <v>589</v>
      </c>
      <c r="B42" s="7">
        <v>2010</v>
      </c>
      <c r="C42" s="3" t="s">
        <v>614</v>
      </c>
      <c r="D42" s="6">
        <v>30624.113330279441</v>
      </c>
    </row>
    <row r="43" spans="1:4" x14ac:dyDescent="0.2">
      <c r="A43" t="s">
        <v>589</v>
      </c>
      <c r="B43" s="7">
        <v>2011</v>
      </c>
      <c r="C43" s="3" t="s">
        <v>614</v>
      </c>
      <c r="D43" s="6">
        <v>41355.189158801302</v>
      </c>
    </row>
    <row r="44" spans="1:4" x14ac:dyDescent="0.2">
      <c r="A44" t="s">
        <v>589</v>
      </c>
      <c r="B44" s="7">
        <v>2012</v>
      </c>
      <c r="C44" s="3" t="s">
        <v>614</v>
      </c>
      <c r="D44" s="6">
        <v>37791.28620301019</v>
      </c>
    </row>
    <row r="45" spans="1:4" x14ac:dyDescent="0.2">
      <c r="A45" t="s">
        <v>589</v>
      </c>
      <c r="B45" s="7">
        <v>2013</v>
      </c>
      <c r="C45" s="3" t="s">
        <v>614</v>
      </c>
      <c r="D45" s="6">
        <v>40983.443964807535</v>
      </c>
    </row>
    <row r="46" spans="1:4" x14ac:dyDescent="0.2">
      <c r="A46" t="s">
        <v>589</v>
      </c>
      <c r="B46" s="7">
        <v>2014</v>
      </c>
      <c r="C46" s="3" t="s">
        <v>614</v>
      </c>
      <c r="D46" s="6">
        <v>38030.225434374312</v>
      </c>
    </row>
    <row r="47" spans="1:4" x14ac:dyDescent="0.2">
      <c r="A47" t="s">
        <v>589</v>
      </c>
      <c r="B47" s="7">
        <v>2015</v>
      </c>
      <c r="C47" s="3" t="s">
        <v>614</v>
      </c>
      <c r="D47" s="6">
        <v>55089.623779112284</v>
      </c>
    </row>
    <row r="48" spans="1:4" x14ac:dyDescent="0.2">
      <c r="A48" t="s">
        <v>589</v>
      </c>
      <c r="B48" s="7">
        <v>2016</v>
      </c>
      <c r="C48" s="3" t="s">
        <v>614</v>
      </c>
      <c r="D48" s="6">
        <v>55472.696224401727</v>
      </c>
    </row>
    <row r="49" spans="1:4" x14ac:dyDescent="0.2">
      <c r="A49" t="s">
        <v>589</v>
      </c>
      <c r="B49" s="7">
        <v>2017</v>
      </c>
      <c r="C49" s="3" t="s">
        <v>614</v>
      </c>
      <c r="D49" s="6">
        <v>46416.502208263941</v>
      </c>
    </row>
    <row r="50" spans="1:4" x14ac:dyDescent="0.2">
      <c r="A50" t="s">
        <v>589</v>
      </c>
      <c r="B50" s="7">
        <v>2018</v>
      </c>
      <c r="C50" s="3" t="s">
        <v>614</v>
      </c>
      <c r="D50" s="6">
        <v>23433.291506806574</v>
      </c>
    </row>
    <row r="51" spans="1:4" x14ac:dyDescent="0.2">
      <c r="A51" t="s">
        <v>589</v>
      </c>
      <c r="B51" s="7">
        <v>2019</v>
      </c>
      <c r="C51" s="3" t="s">
        <v>614</v>
      </c>
      <c r="D51" s="6">
        <v>42270.196478990365</v>
      </c>
    </row>
    <row r="52" spans="1:4" x14ac:dyDescent="0.2">
      <c r="A52" t="s">
        <v>589</v>
      </c>
      <c r="B52" s="7">
        <v>2020</v>
      </c>
      <c r="C52" s="3" t="s">
        <v>614</v>
      </c>
      <c r="D52" s="6">
        <v>26434.513652929305</v>
      </c>
    </row>
    <row r="53" spans="1:4" x14ac:dyDescent="0.2">
      <c r="A53" t="s">
        <v>589</v>
      </c>
      <c r="B53" s="7">
        <v>2021</v>
      </c>
      <c r="C53" s="3" t="s">
        <v>614</v>
      </c>
      <c r="D53" s="6">
        <v>55023.396009554686</v>
      </c>
    </row>
    <row r="54" spans="1:4" x14ac:dyDescent="0.2">
      <c r="A54" t="s">
        <v>589</v>
      </c>
      <c r="B54" s="7">
        <v>2022</v>
      </c>
      <c r="C54" s="3" t="s">
        <v>614</v>
      </c>
      <c r="D54" s="6">
        <v>44869.944476366873</v>
      </c>
    </row>
    <row r="55" spans="1:4" x14ac:dyDescent="0.2">
      <c r="A55" t="s">
        <v>589</v>
      </c>
      <c r="B55" s="7">
        <v>2023</v>
      </c>
      <c r="C55" s="3" t="s">
        <v>614</v>
      </c>
      <c r="D55" s="6">
        <v>24777.917591194473</v>
      </c>
    </row>
    <row r="56" spans="1:4" x14ac:dyDescent="0.2">
      <c r="A56" t="s">
        <v>589</v>
      </c>
      <c r="B56" s="7">
        <v>2024</v>
      </c>
      <c r="C56" s="3" t="s">
        <v>614</v>
      </c>
      <c r="D56" s="6">
        <v>41898.930871546989</v>
      </c>
    </row>
    <row r="57" spans="1:4" x14ac:dyDescent="0.2">
      <c r="A57" t="s">
        <v>589</v>
      </c>
      <c r="B57" s="7">
        <v>1970</v>
      </c>
      <c r="C57" s="3" t="s">
        <v>616</v>
      </c>
      <c r="D57" s="6">
        <v>12.357585832741663</v>
      </c>
    </row>
    <row r="58" spans="1:4" x14ac:dyDescent="0.2">
      <c r="A58" t="s">
        <v>589</v>
      </c>
      <c r="B58" s="7">
        <v>1971</v>
      </c>
      <c r="C58" s="3" t="s">
        <v>616</v>
      </c>
      <c r="D58" s="6">
        <v>13.520253824327858</v>
      </c>
    </row>
    <row r="59" spans="1:4" x14ac:dyDescent="0.2">
      <c r="A59" t="s">
        <v>589</v>
      </c>
      <c r="B59" s="7">
        <v>1972</v>
      </c>
      <c r="C59" s="3" t="s">
        <v>616</v>
      </c>
      <c r="D59" s="6">
        <v>14.450574308138327</v>
      </c>
    </row>
    <row r="60" spans="1:4" x14ac:dyDescent="0.2">
      <c r="A60" t="s">
        <v>589</v>
      </c>
      <c r="B60" s="7">
        <v>1973</v>
      </c>
      <c r="C60" s="3" t="s">
        <v>616</v>
      </c>
      <c r="D60" s="6">
        <v>16.741559412133007</v>
      </c>
    </row>
    <row r="61" spans="1:4" x14ac:dyDescent="0.2">
      <c r="A61" t="s">
        <v>589</v>
      </c>
      <c r="B61" s="7">
        <v>1974</v>
      </c>
      <c r="C61" s="3" t="s">
        <v>616</v>
      </c>
      <c r="D61" s="6">
        <v>19.735535319554057</v>
      </c>
    </row>
    <row r="62" spans="1:4" x14ac:dyDescent="0.2">
      <c r="A62" t="s">
        <v>589</v>
      </c>
      <c r="B62" s="7">
        <v>1975</v>
      </c>
      <c r="C62" s="3" t="s">
        <v>616</v>
      </c>
      <c r="D62" s="6">
        <v>25.192077140663351</v>
      </c>
    </row>
    <row r="63" spans="1:4" x14ac:dyDescent="0.2">
      <c r="A63" t="s">
        <v>589</v>
      </c>
      <c r="B63" s="7">
        <v>1976</v>
      </c>
      <c r="C63" s="3" t="s">
        <v>616</v>
      </c>
      <c r="D63" s="6">
        <v>29.229781186374876</v>
      </c>
    </row>
    <row r="64" spans="1:4" x14ac:dyDescent="0.2">
      <c r="A64" t="s">
        <v>589</v>
      </c>
      <c r="B64" s="7">
        <v>1977</v>
      </c>
      <c r="C64" s="3" t="s">
        <v>616</v>
      </c>
      <c r="D64" s="6">
        <v>36.003160711375514</v>
      </c>
    </row>
    <row r="65" spans="1:4" x14ac:dyDescent="0.2">
      <c r="A65" t="s">
        <v>589</v>
      </c>
      <c r="B65" s="7">
        <v>1978</v>
      </c>
      <c r="C65" s="3" t="s">
        <v>616</v>
      </c>
      <c r="D65" s="6">
        <v>44.989885909828757</v>
      </c>
    </row>
    <row r="66" spans="1:4" x14ac:dyDescent="0.2">
      <c r="A66" t="s">
        <v>589</v>
      </c>
      <c r="B66" s="7">
        <v>1979</v>
      </c>
      <c r="C66" s="3" t="s">
        <v>616</v>
      </c>
      <c r="D66" s="6">
        <v>57.0213645410523</v>
      </c>
    </row>
    <row r="67" spans="1:4" x14ac:dyDescent="0.2">
      <c r="A67" t="s">
        <v>589</v>
      </c>
      <c r="B67" s="7">
        <v>1980</v>
      </c>
      <c r="C67" s="3" t="s">
        <v>616</v>
      </c>
      <c r="D67" s="6">
        <v>75.180672931399897</v>
      </c>
    </row>
    <row r="68" spans="1:4" x14ac:dyDescent="0.2">
      <c r="A68" t="s">
        <v>589</v>
      </c>
      <c r="B68" s="7">
        <v>1981</v>
      </c>
      <c r="C68" s="3" t="s">
        <v>616</v>
      </c>
      <c r="D68" s="6">
        <v>106.63556378063005</v>
      </c>
    </row>
    <row r="69" spans="1:4" x14ac:dyDescent="0.2">
      <c r="A69" t="s">
        <v>589</v>
      </c>
      <c r="B69" s="7">
        <v>1982</v>
      </c>
      <c r="C69" s="3" t="s">
        <v>616</v>
      </c>
      <c r="D69" s="6">
        <v>136.04003962454289</v>
      </c>
    </row>
    <row r="70" spans="1:4" x14ac:dyDescent="0.2">
      <c r="A70" t="s">
        <v>589</v>
      </c>
      <c r="B70" s="7">
        <v>1983</v>
      </c>
      <c r="C70" s="3" t="s">
        <v>616</v>
      </c>
      <c r="D70" s="6">
        <v>157.22857228586921</v>
      </c>
    </row>
    <row r="71" spans="1:4" x14ac:dyDescent="0.2">
      <c r="A71" t="s">
        <v>589</v>
      </c>
      <c r="B71" s="7">
        <v>1984</v>
      </c>
      <c r="C71" s="3" t="s">
        <v>616</v>
      </c>
      <c r="D71" s="6">
        <v>181.20741785746867</v>
      </c>
    </row>
    <row r="72" spans="1:4" x14ac:dyDescent="0.2">
      <c r="A72" t="s">
        <v>589</v>
      </c>
      <c r="B72" s="7">
        <v>1985</v>
      </c>
      <c r="C72" s="3" t="s">
        <v>616</v>
      </c>
      <c r="D72" s="6">
        <v>189.49110951311724</v>
      </c>
    </row>
    <row r="73" spans="1:4" x14ac:dyDescent="0.2">
      <c r="A73" t="s">
        <v>589</v>
      </c>
      <c r="B73" s="7">
        <v>1986</v>
      </c>
      <c r="C73" s="3" t="s">
        <v>616</v>
      </c>
      <c r="D73" s="6">
        <v>217.02620790706848</v>
      </c>
    </row>
    <row r="74" spans="1:4" x14ac:dyDescent="0.2">
      <c r="A74" t="s">
        <v>589</v>
      </c>
      <c r="B74" s="7">
        <v>1987</v>
      </c>
      <c r="C74" s="3" t="s">
        <v>616</v>
      </c>
      <c r="D74" s="6">
        <v>296.03563596497804</v>
      </c>
    </row>
    <row r="75" spans="1:4" x14ac:dyDescent="0.2">
      <c r="A75" t="s">
        <v>589</v>
      </c>
      <c r="B75" s="7">
        <v>1988</v>
      </c>
      <c r="C75" s="3" t="s">
        <v>616</v>
      </c>
      <c r="D75" s="6">
        <v>412.08753385401354</v>
      </c>
    </row>
    <row r="76" spans="1:4" x14ac:dyDescent="0.2">
      <c r="A76" t="s">
        <v>589</v>
      </c>
      <c r="B76" s="7">
        <v>1989</v>
      </c>
      <c r="C76" s="3" t="s">
        <v>616</v>
      </c>
      <c r="D76" s="6">
        <v>563.72234086494404</v>
      </c>
    </row>
    <row r="77" spans="1:4" x14ac:dyDescent="0.2">
      <c r="A77" t="s">
        <v>589</v>
      </c>
      <c r="B77" s="7">
        <v>1990</v>
      </c>
      <c r="C77" s="3" t="s">
        <v>616</v>
      </c>
      <c r="D77" s="6">
        <v>777.96579768058348</v>
      </c>
    </row>
    <row r="78" spans="1:4" x14ac:dyDescent="0.2">
      <c r="A78" t="s">
        <v>589</v>
      </c>
      <c r="B78" s="7">
        <v>1991</v>
      </c>
      <c r="C78" s="3" t="s">
        <v>616</v>
      </c>
      <c r="D78" s="6">
        <v>908.17463028595432</v>
      </c>
    </row>
    <row r="79" spans="1:4" x14ac:dyDescent="0.2">
      <c r="A79" t="s">
        <v>589</v>
      </c>
      <c r="B79" s="7">
        <v>1992</v>
      </c>
      <c r="C79" s="3" t="s">
        <v>616</v>
      </c>
      <c r="D79" s="6">
        <v>1016.6902146711766</v>
      </c>
    </row>
    <row r="80" spans="1:4" x14ac:dyDescent="0.2">
      <c r="A80" t="s">
        <v>589</v>
      </c>
      <c r="B80" s="7">
        <v>1993</v>
      </c>
      <c r="C80" s="3" t="s">
        <v>616</v>
      </c>
      <c r="D80" s="6">
        <v>1171.4620751292971</v>
      </c>
    </row>
    <row r="81" spans="1:4" x14ac:dyDescent="0.2">
      <c r="A81" t="s">
        <v>589</v>
      </c>
      <c r="B81" s="7">
        <v>1994</v>
      </c>
      <c r="C81" s="3" t="s">
        <v>616</v>
      </c>
      <c r="D81" s="6">
        <v>1371.6030023966796</v>
      </c>
    </row>
    <row r="82" spans="1:4" x14ac:dyDescent="0.2">
      <c r="A82" t="s">
        <v>589</v>
      </c>
      <c r="B82" s="7">
        <v>1995</v>
      </c>
      <c r="C82" s="3" t="s">
        <v>616</v>
      </c>
      <c r="D82" s="6">
        <v>1684.9266348186463</v>
      </c>
    </row>
    <row r="83" spans="1:4" x14ac:dyDescent="0.2">
      <c r="A83" t="s">
        <v>589</v>
      </c>
      <c r="B83" s="7">
        <v>1996</v>
      </c>
      <c r="C83" s="3" t="s">
        <v>616</v>
      </c>
      <c r="D83" s="6">
        <v>2193.824923358181</v>
      </c>
    </row>
    <row r="84" spans="1:4" x14ac:dyDescent="0.2">
      <c r="A84" t="s">
        <v>589</v>
      </c>
      <c r="B84" s="7">
        <v>1997</v>
      </c>
      <c r="C84" s="3" t="s">
        <v>616</v>
      </c>
      <c r="D84" s="6">
        <v>2927.7436851798234</v>
      </c>
    </row>
    <row r="85" spans="1:4" x14ac:dyDescent="0.2">
      <c r="A85" t="s">
        <v>589</v>
      </c>
      <c r="B85" s="7">
        <v>1998</v>
      </c>
      <c r="C85" s="3" t="s">
        <v>616</v>
      </c>
      <c r="D85" s="6">
        <v>4116.9985806864615</v>
      </c>
    </row>
    <row r="86" spans="1:4" x14ac:dyDescent="0.2">
      <c r="A86" t="s">
        <v>589</v>
      </c>
      <c r="B86" s="7">
        <v>1999</v>
      </c>
      <c r="C86" s="3" t="s">
        <v>616</v>
      </c>
      <c r="D86" s="6">
        <v>6090.775708613256</v>
      </c>
    </row>
    <row r="87" spans="1:4" x14ac:dyDescent="0.2">
      <c r="A87" t="s">
        <v>589</v>
      </c>
      <c r="B87" s="7">
        <v>2000</v>
      </c>
      <c r="C87" s="3" t="s">
        <v>616</v>
      </c>
      <c r="D87" s="6">
        <v>8750.2903617006668</v>
      </c>
    </row>
    <row r="88" spans="1:4" x14ac:dyDescent="0.2">
      <c r="A88" t="s">
        <v>589</v>
      </c>
      <c r="B88" s="7">
        <v>2001</v>
      </c>
      <c r="C88" s="3" t="s">
        <v>616</v>
      </c>
      <c r="D88" s="6">
        <v>9974.5839582509016</v>
      </c>
    </row>
    <row r="89" spans="1:4" x14ac:dyDescent="0.2">
      <c r="A89" t="s">
        <v>589</v>
      </c>
      <c r="B89" s="7">
        <v>2002</v>
      </c>
      <c r="C89" s="3" t="s">
        <v>616</v>
      </c>
      <c r="D89" s="6">
        <v>10697.008783260952</v>
      </c>
    </row>
    <row r="90" spans="1:4" x14ac:dyDescent="0.2">
      <c r="A90" t="s">
        <v>589</v>
      </c>
      <c r="B90" s="7">
        <v>2003</v>
      </c>
      <c r="C90" s="3" t="s">
        <v>616</v>
      </c>
      <c r="D90" s="6">
        <v>10910.707900531972</v>
      </c>
    </row>
    <row r="91" spans="1:4" x14ac:dyDescent="0.2">
      <c r="A91" t="s">
        <v>589</v>
      </c>
      <c r="B91" s="7">
        <v>2004</v>
      </c>
      <c r="C91" s="3" t="s">
        <v>616</v>
      </c>
      <c r="D91" s="6">
        <v>10976.161900725054</v>
      </c>
    </row>
    <row r="92" spans="1:4" x14ac:dyDescent="0.2">
      <c r="A92" t="s">
        <v>589</v>
      </c>
      <c r="B92" s="7">
        <v>2005</v>
      </c>
      <c r="C92" s="3" t="s">
        <v>616</v>
      </c>
      <c r="D92" s="6">
        <v>11717.614189865313</v>
      </c>
    </row>
    <row r="93" spans="1:4" x14ac:dyDescent="0.2">
      <c r="A93" t="s">
        <v>589</v>
      </c>
      <c r="B93" s="7">
        <v>2006</v>
      </c>
      <c r="C93" s="3" t="s">
        <v>616</v>
      </c>
      <c r="D93" s="6">
        <v>15691.490949831665</v>
      </c>
    </row>
    <row r="94" spans="1:4" x14ac:dyDescent="0.2">
      <c r="A94" t="s">
        <v>589</v>
      </c>
      <c r="B94" s="7">
        <v>2007</v>
      </c>
      <c r="C94" s="3" t="s">
        <v>616</v>
      </c>
      <c r="D94" s="6">
        <v>22884.740862364823</v>
      </c>
    </row>
    <row r="95" spans="1:4" x14ac:dyDescent="0.2">
      <c r="A95" t="s">
        <v>589</v>
      </c>
      <c r="B95" s="7">
        <v>2008</v>
      </c>
      <c r="C95" s="3" t="s">
        <v>616</v>
      </c>
      <c r="D95" s="6">
        <v>28532.562466240863</v>
      </c>
    </row>
    <row r="96" spans="1:4" x14ac:dyDescent="0.2">
      <c r="A96" t="s">
        <v>589</v>
      </c>
      <c r="B96" s="7">
        <v>2009</v>
      </c>
      <c r="C96" s="3" t="s">
        <v>616</v>
      </c>
      <c r="D96" s="6">
        <v>31034.606023765959</v>
      </c>
    </row>
    <row r="97" spans="1:4" x14ac:dyDescent="0.2">
      <c r="A97" t="s">
        <v>589</v>
      </c>
      <c r="B97" s="7">
        <v>2010</v>
      </c>
      <c r="C97" s="3" t="s">
        <v>616</v>
      </c>
      <c r="D97" s="6">
        <v>33196.523599322914</v>
      </c>
    </row>
    <row r="98" spans="1:4" x14ac:dyDescent="0.2">
      <c r="A98" t="s">
        <v>589</v>
      </c>
      <c r="B98" s="7">
        <v>2011</v>
      </c>
      <c r="C98" s="3" t="s">
        <v>616</v>
      </c>
      <c r="D98" s="6">
        <v>35564.319675769606</v>
      </c>
    </row>
    <row r="99" spans="1:4" x14ac:dyDescent="0.2">
      <c r="A99" t="s">
        <v>589</v>
      </c>
      <c r="B99" s="7">
        <v>2012</v>
      </c>
      <c r="C99" s="3" t="s">
        <v>616</v>
      </c>
      <c r="D99" s="6">
        <v>34246.018306139602</v>
      </c>
    </row>
    <row r="100" spans="1:4" x14ac:dyDescent="0.2">
      <c r="A100" t="s">
        <v>589</v>
      </c>
      <c r="B100" s="7">
        <v>2013</v>
      </c>
      <c r="C100" s="3" t="s">
        <v>616</v>
      </c>
      <c r="D100" s="6">
        <v>35086.209563295648</v>
      </c>
    </row>
    <row r="101" spans="1:4" x14ac:dyDescent="0.2">
      <c r="A101" t="s">
        <v>589</v>
      </c>
      <c r="B101" s="7">
        <v>2014</v>
      </c>
      <c r="C101" s="3" t="s">
        <v>616</v>
      </c>
      <c r="D101" s="6">
        <v>37756.851618254557</v>
      </c>
    </row>
    <row r="102" spans="1:4" x14ac:dyDescent="0.2">
      <c r="A102" t="s">
        <v>589</v>
      </c>
      <c r="B102" s="7">
        <v>2015</v>
      </c>
      <c r="C102" s="3" t="s">
        <v>616</v>
      </c>
      <c r="D102" s="6">
        <v>42649.953708021116</v>
      </c>
    </row>
    <row r="103" spans="1:4" x14ac:dyDescent="0.2">
      <c r="A103" t="s">
        <v>589</v>
      </c>
      <c r="B103" s="7">
        <v>2016</v>
      </c>
      <c r="C103" s="3" t="s">
        <v>616</v>
      </c>
      <c r="D103" s="6">
        <v>45473.455121141211</v>
      </c>
    </row>
    <row r="104" spans="1:4" x14ac:dyDescent="0.2">
      <c r="A104" t="s">
        <v>589</v>
      </c>
      <c r="B104" s="7">
        <v>2017</v>
      </c>
      <c r="C104" s="3" t="s">
        <v>616</v>
      </c>
      <c r="D104" s="6">
        <v>47198.498322191954</v>
      </c>
    </row>
    <row r="105" spans="1:4" x14ac:dyDescent="0.2">
      <c r="A105" t="s">
        <v>589</v>
      </c>
      <c r="B105" s="7">
        <v>2018</v>
      </c>
      <c r="C105" s="3" t="s">
        <v>616</v>
      </c>
      <c r="D105" s="6">
        <v>43688.46783059177</v>
      </c>
    </row>
    <row r="106" spans="1:4" x14ac:dyDescent="0.2">
      <c r="A106" t="s">
        <v>589</v>
      </c>
      <c r="B106" s="7">
        <v>2019</v>
      </c>
      <c r="C106" s="3" t="s">
        <v>616</v>
      </c>
      <c r="D106" s="6">
        <v>44536.462039514983</v>
      </c>
    </row>
    <row r="107" spans="1:4" x14ac:dyDescent="0.2">
      <c r="A107" t="s">
        <v>589</v>
      </c>
      <c r="B107" s="7">
        <v>2020</v>
      </c>
      <c r="C107" s="3" t="s">
        <v>616</v>
      </c>
      <c r="D107" s="6">
        <v>38805.440014278392</v>
      </c>
    </row>
    <row r="108" spans="1:4" x14ac:dyDescent="0.2">
      <c r="A108" t="s">
        <v>589</v>
      </c>
      <c r="B108" s="7">
        <v>2021</v>
      </c>
      <c r="C108" s="3" t="s">
        <v>616</v>
      </c>
      <c r="D108" s="6">
        <v>38715.57997130898</v>
      </c>
    </row>
    <row r="109" spans="1:4" x14ac:dyDescent="0.2">
      <c r="A109" t="s">
        <v>589</v>
      </c>
      <c r="B109" s="7">
        <v>2022</v>
      </c>
      <c r="C109" s="3" t="s">
        <v>616</v>
      </c>
      <c r="D109" s="6">
        <v>38406.268424929556</v>
      </c>
    </row>
    <row r="110" spans="1:4" x14ac:dyDescent="0.2">
      <c r="A110" t="s">
        <v>589</v>
      </c>
      <c r="B110" s="7">
        <v>2023</v>
      </c>
      <c r="C110" s="3" t="s">
        <v>616</v>
      </c>
      <c r="D110" s="6">
        <v>38675.193641807149</v>
      </c>
    </row>
    <row r="111" spans="1:4" x14ac:dyDescent="0.2">
      <c r="A111" t="s">
        <v>589</v>
      </c>
      <c r="B111" s="7">
        <v>2024</v>
      </c>
      <c r="C111" s="3" t="s">
        <v>616</v>
      </c>
      <c r="D111" s="6">
        <v>38600.940520318465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B50C-B79D-8F49-8AB3-6424F5E507C3}">
  <dimension ref="A1:D111"/>
  <sheetViews>
    <sheetView topLeftCell="A2" workbookViewId="0">
      <selection activeCell="F14" sqref="F14"/>
    </sheetView>
  </sheetViews>
  <sheetFormatPr baseColWidth="10" defaultRowHeight="16" x14ac:dyDescent="0.2"/>
  <cols>
    <col min="1" max="1" width="10.1640625" bestFit="1" customWidth="1"/>
    <col min="2" max="2" width="7.33203125" bestFit="1" customWidth="1"/>
    <col min="3" max="3" width="93.5" bestFit="1" customWidth="1"/>
    <col min="4" max="4" width="11.33203125" bestFit="1" customWidth="1"/>
  </cols>
  <sheetData>
    <row r="1" spans="1:4" x14ac:dyDescent="0.2">
      <c r="A1" t="s">
        <v>604</v>
      </c>
      <c r="B1" t="s">
        <v>603</v>
      </c>
      <c r="C1" t="s">
        <v>610</v>
      </c>
      <c r="D1" s="2" t="s">
        <v>611</v>
      </c>
    </row>
    <row r="2" spans="1:4" x14ac:dyDescent="0.2">
      <c r="A2" t="s">
        <v>589</v>
      </c>
      <c r="B2" s="7">
        <v>1970</v>
      </c>
      <c r="C2" s="3" t="s">
        <v>606</v>
      </c>
      <c r="D2" s="5">
        <v>4.7220140023282085E-2</v>
      </c>
    </row>
    <row r="3" spans="1:4" x14ac:dyDescent="0.2">
      <c r="A3" t="s">
        <v>589</v>
      </c>
      <c r="B3" s="7">
        <v>1971</v>
      </c>
      <c r="C3" s="3" t="s">
        <v>606</v>
      </c>
      <c r="D3" s="5">
        <v>5.4644251791602302E-2</v>
      </c>
    </row>
    <row r="4" spans="1:4" x14ac:dyDescent="0.2">
      <c r="A4" t="s">
        <v>589</v>
      </c>
      <c r="B4" s="7">
        <v>1972</v>
      </c>
      <c r="C4" s="3" t="s">
        <v>606</v>
      </c>
      <c r="D4" s="5">
        <v>6.3881389287516868E-2</v>
      </c>
    </row>
    <row r="5" spans="1:4" x14ac:dyDescent="0.2">
      <c r="A5" t="s">
        <v>589</v>
      </c>
      <c r="B5" s="7">
        <v>1973</v>
      </c>
      <c r="C5" s="3" t="s">
        <v>606</v>
      </c>
      <c r="D5" s="5">
        <v>0.11847047061847996</v>
      </c>
    </row>
    <row r="6" spans="1:4" x14ac:dyDescent="0.2">
      <c r="A6" t="s">
        <v>589</v>
      </c>
      <c r="B6" s="7">
        <v>1974</v>
      </c>
      <c r="C6" s="3" t="s">
        <v>606</v>
      </c>
      <c r="D6" s="5">
        <v>0.16714355406778936</v>
      </c>
    </row>
    <row r="7" spans="1:4" x14ac:dyDescent="0.2">
      <c r="A7" t="s">
        <v>589</v>
      </c>
      <c r="B7" s="7">
        <v>1975</v>
      </c>
      <c r="C7" s="3" t="s">
        <v>606</v>
      </c>
      <c r="D7" s="5">
        <v>0.10484570374597027</v>
      </c>
    </row>
    <row r="8" spans="1:4" x14ac:dyDescent="0.2">
      <c r="A8" t="s">
        <v>589</v>
      </c>
      <c r="B8" s="7">
        <v>1976</v>
      </c>
      <c r="C8" s="3" t="s">
        <v>606</v>
      </c>
      <c r="D8" s="5">
        <v>9.2815220186309513E-2</v>
      </c>
    </row>
    <row r="9" spans="1:4" x14ac:dyDescent="0.2">
      <c r="A9" t="s">
        <v>589</v>
      </c>
      <c r="B9" s="7">
        <v>1977</v>
      </c>
      <c r="C9" s="3" t="s">
        <v>606</v>
      </c>
      <c r="D9" s="5">
        <v>9.6930856082707559E-2</v>
      </c>
    </row>
    <row r="10" spans="1:4" x14ac:dyDescent="0.2">
      <c r="A10" t="s">
        <v>589</v>
      </c>
      <c r="B10" s="7">
        <v>1978</v>
      </c>
      <c r="C10" s="3" t="s">
        <v>606</v>
      </c>
      <c r="D10" s="5">
        <v>7.7978014064391699E-2</v>
      </c>
    </row>
    <row r="11" spans="1:4" x14ac:dyDescent="0.2">
      <c r="A11" t="s">
        <v>589</v>
      </c>
      <c r="B11" s="7">
        <v>1979</v>
      </c>
      <c r="C11" s="3" t="s">
        <v>606</v>
      </c>
      <c r="D11" s="5">
        <v>0.11512247233014726</v>
      </c>
    </row>
    <row r="12" spans="1:4" x14ac:dyDescent="0.2">
      <c r="A12" t="s">
        <v>589</v>
      </c>
      <c r="B12" s="7">
        <v>1980</v>
      </c>
      <c r="C12" s="3" t="s">
        <v>606</v>
      </c>
      <c r="D12" s="5">
        <v>0.13053545689500751</v>
      </c>
    </row>
    <row r="13" spans="1:4" x14ac:dyDescent="0.2">
      <c r="A13" t="s">
        <v>589</v>
      </c>
      <c r="B13" s="7">
        <v>1981</v>
      </c>
      <c r="C13" s="3" t="s">
        <v>606</v>
      </c>
      <c r="D13" s="5">
        <v>0.10150714648163288</v>
      </c>
    </row>
    <row r="14" spans="1:4" x14ac:dyDescent="0.2">
      <c r="A14" t="s">
        <v>589</v>
      </c>
      <c r="B14" s="7">
        <v>1982</v>
      </c>
      <c r="C14" s="3" t="s">
        <v>606</v>
      </c>
      <c r="D14" s="5">
        <v>8.1130868418377841E-2</v>
      </c>
    </row>
    <row r="15" spans="1:4" x14ac:dyDescent="0.2">
      <c r="A15" t="s">
        <v>589</v>
      </c>
      <c r="B15" s="7">
        <v>1983</v>
      </c>
      <c r="C15" s="3" t="s">
        <v>606</v>
      </c>
      <c r="D15" s="5">
        <v>7.7252723865774725E-2</v>
      </c>
    </row>
    <row r="16" spans="1:4" x14ac:dyDescent="0.2">
      <c r="A16" t="s">
        <v>589</v>
      </c>
      <c r="B16" s="7">
        <v>1984</v>
      </c>
      <c r="C16" s="3" t="s">
        <v>606</v>
      </c>
      <c r="D16" s="5">
        <v>7.9232328482273851E-2</v>
      </c>
    </row>
    <row r="17" spans="1:4" x14ac:dyDescent="0.2">
      <c r="A17" t="s">
        <v>589</v>
      </c>
      <c r="B17" s="7">
        <v>1985</v>
      </c>
      <c r="C17" s="3" t="s">
        <v>606</v>
      </c>
      <c r="D17" s="5">
        <v>5.5268201428267785E-2</v>
      </c>
    </row>
    <row r="18" spans="1:4" x14ac:dyDescent="0.2">
      <c r="A18" t="s">
        <v>589</v>
      </c>
      <c r="B18" s="7">
        <v>1986</v>
      </c>
      <c r="C18" s="3" t="s">
        <v>606</v>
      </c>
      <c r="D18" s="5">
        <v>5.2394149768332739E-2</v>
      </c>
    </row>
    <row r="19" spans="1:4" x14ac:dyDescent="0.2">
      <c r="A19" t="s">
        <v>589</v>
      </c>
      <c r="B19" s="7">
        <v>1987</v>
      </c>
      <c r="C19" s="3" t="s">
        <v>606</v>
      </c>
      <c r="D19" s="5">
        <v>7.1763685109351702E-2</v>
      </c>
    </row>
    <row r="20" spans="1:4" x14ac:dyDescent="0.2">
      <c r="A20" t="s">
        <v>589</v>
      </c>
      <c r="B20" s="7">
        <v>1988</v>
      </c>
      <c r="C20" s="3" t="s">
        <v>606</v>
      </c>
      <c r="D20" s="5">
        <v>6.5134153194451094E-2</v>
      </c>
    </row>
    <row r="21" spans="1:4" x14ac:dyDescent="0.2">
      <c r="A21" t="s">
        <v>589</v>
      </c>
      <c r="B21" s="7">
        <v>1989</v>
      </c>
      <c r="C21" s="3" t="s">
        <v>606</v>
      </c>
      <c r="D21" s="5">
        <v>7.1477388277844375E-2</v>
      </c>
    </row>
    <row r="22" spans="1:4" x14ac:dyDescent="0.2">
      <c r="A22" t="s">
        <v>589</v>
      </c>
      <c r="B22" s="7">
        <v>1990</v>
      </c>
      <c r="C22" s="3" t="s">
        <v>606</v>
      </c>
      <c r="D22" s="5">
        <v>7.9878494717877044E-2</v>
      </c>
    </row>
    <row r="23" spans="1:4" x14ac:dyDescent="0.2">
      <c r="A23" t="s">
        <v>589</v>
      </c>
      <c r="B23" s="7">
        <v>1991</v>
      </c>
      <c r="C23" s="3" t="s">
        <v>606</v>
      </c>
      <c r="D23" s="5">
        <v>8.6656589447414584E-2</v>
      </c>
    </row>
    <row r="24" spans="1:4" x14ac:dyDescent="0.2">
      <c r="A24" t="s">
        <v>589</v>
      </c>
      <c r="B24" s="7">
        <v>1992</v>
      </c>
      <c r="C24" s="3" t="s">
        <v>606</v>
      </c>
      <c r="D24" s="5">
        <v>7.3440669291872498E-2</v>
      </c>
    </row>
    <row r="25" spans="1:4" x14ac:dyDescent="0.2">
      <c r="A25" t="s">
        <v>589</v>
      </c>
      <c r="B25" s="7">
        <v>1993</v>
      </c>
      <c r="C25" s="3" t="s">
        <v>606</v>
      </c>
      <c r="D25" s="5">
        <v>8.0858755320608683E-2</v>
      </c>
    </row>
    <row r="26" spans="1:4" x14ac:dyDescent="0.2">
      <c r="A26" t="s">
        <v>589</v>
      </c>
      <c r="B26" s="7">
        <v>1994</v>
      </c>
      <c r="C26" s="3" t="s">
        <v>606</v>
      </c>
      <c r="D26" s="5">
        <v>9.8081576345723953E-2</v>
      </c>
    </row>
    <row r="27" spans="1:4" x14ac:dyDescent="0.2">
      <c r="A27" t="s">
        <v>589</v>
      </c>
      <c r="B27" s="7">
        <v>1995</v>
      </c>
      <c r="C27" s="3" t="s">
        <v>606</v>
      </c>
      <c r="D27" s="5">
        <v>8.67596757855911E-2</v>
      </c>
    </row>
    <row r="28" spans="1:4" x14ac:dyDescent="0.2">
      <c r="A28" t="s">
        <v>589</v>
      </c>
      <c r="B28" s="7">
        <v>1996</v>
      </c>
      <c r="C28" s="3" t="s">
        <v>606</v>
      </c>
      <c r="D28" s="5">
        <v>6.61963807076031E-2</v>
      </c>
    </row>
    <row r="29" spans="1:4" x14ac:dyDescent="0.2">
      <c r="A29" t="s">
        <v>589</v>
      </c>
      <c r="B29" s="7">
        <v>1997</v>
      </c>
      <c r="C29" s="3" t="s">
        <v>606</v>
      </c>
      <c r="D29" s="5">
        <v>4.4565708952409792E-2</v>
      </c>
    </row>
    <row r="30" spans="1:4" x14ac:dyDescent="0.2">
      <c r="A30" t="s">
        <v>589</v>
      </c>
      <c r="B30" s="7">
        <v>1998</v>
      </c>
      <c r="C30" s="3" t="s">
        <v>606</v>
      </c>
      <c r="D30" s="5">
        <v>4.6919666498717587E-2</v>
      </c>
    </row>
    <row r="31" spans="1:4" x14ac:dyDescent="0.2">
      <c r="A31" t="s">
        <v>589</v>
      </c>
      <c r="B31" s="7">
        <v>1999</v>
      </c>
      <c r="C31" s="3" t="s">
        <v>606</v>
      </c>
      <c r="D31" s="5">
        <v>4.3396883849730589E-2</v>
      </c>
    </row>
    <row r="32" spans="1:4" x14ac:dyDescent="0.2">
      <c r="A32" t="s">
        <v>589</v>
      </c>
      <c r="B32" s="7">
        <v>2000</v>
      </c>
      <c r="C32" s="3" t="s">
        <v>606</v>
      </c>
      <c r="D32" s="5">
        <v>4.9368080115609135E-2</v>
      </c>
    </row>
    <row r="33" spans="1:4" x14ac:dyDescent="0.2">
      <c r="A33" t="s">
        <v>589</v>
      </c>
      <c r="B33" s="7">
        <v>2001</v>
      </c>
      <c r="C33" s="3" t="s">
        <v>606</v>
      </c>
      <c r="D33" s="5">
        <v>3.9615529171501719E-2</v>
      </c>
    </row>
    <row r="34" spans="1:4" x14ac:dyDescent="0.2">
      <c r="A34" t="s">
        <v>589</v>
      </c>
      <c r="B34" s="7">
        <v>2002</v>
      </c>
      <c r="C34" s="3" t="s">
        <v>606</v>
      </c>
      <c r="D34" s="5">
        <v>3.554213254560537E-2</v>
      </c>
    </row>
    <row r="35" spans="1:4" x14ac:dyDescent="0.2">
      <c r="A35" t="s">
        <v>589</v>
      </c>
      <c r="B35" s="7">
        <v>2003</v>
      </c>
      <c r="C35" s="3" t="s">
        <v>606</v>
      </c>
      <c r="D35" s="5">
        <v>3.9745624299609546E-2</v>
      </c>
    </row>
    <row r="36" spans="1:4" x14ac:dyDescent="0.2">
      <c r="A36" t="s">
        <v>589</v>
      </c>
      <c r="B36" s="7">
        <v>2004</v>
      </c>
      <c r="C36" s="3" t="s">
        <v>606</v>
      </c>
      <c r="D36" s="5">
        <v>5.7254132279322786E-2</v>
      </c>
    </row>
    <row r="37" spans="1:4" x14ac:dyDescent="0.2">
      <c r="A37" t="s">
        <v>589</v>
      </c>
      <c r="B37" s="7">
        <v>2005</v>
      </c>
      <c r="C37" s="3" t="s">
        <v>606</v>
      </c>
      <c r="D37" s="5">
        <v>5.6684356262420438E-2</v>
      </c>
    </row>
    <row r="38" spans="1:4" x14ac:dyDescent="0.2">
      <c r="A38" t="s">
        <v>589</v>
      </c>
      <c r="B38" s="7">
        <v>2006</v>
      </c>
      <c r="C38" s="3" t="s">
        <v>606</v>
      </c>
      <c r="D38" s="5">
        <v>5.8076608733047694E-2</v>
      </c>
    </row>
    <row r="39" spans="1:4" x14ac:dyDescent="0.2">
      <c r="A39" t="s">
        <v>589</v>
      </c>
      <c r="B39" s="7">
        <v>2007</v>
      </c>
      <c r="C39" s="3" t="s">
        <v>606</v>
      </c>
      <c r="D39" s="5">
        <v>5.8468923119352215E-2</v>
      </c>
    </row>
    <row r="40" spans="1:4" x14ac:dyDescent="0.2">
      <c r="A40" t="s">
        <v>589</v>
      </c>
      <c r="B40" s="7">
        <v>2008</v>
      </c>
      <c r="C40" s="3" t="s">
        <v>606</v>
      </c>
      <c r="D40" s="5">
        <v>7.8565864646320593E-2</v>
      </c>
    </row>
    <row r="41" spans="1:4" x14ac:dyDescent="0.2">
      <c r="A41" t="s">
        <v>589</v>
      </c>
      <c r="B41" s="7">
        <v>2009</v>
      </c>
      <c r="C41" s="3" t="s">
        <v>606</v>
      </c>
      <c r="D41" s="5">
        <v>2.1165450194592664E-2</v>
      </c>
    </row>
    <row r="42" spans="1:4" x14ac:dyDescent="0.2">
      <c r="A42" t="s">
        <v>589</v>
      </c>
      <c r="B42" s="7">
        <v>2010</v>
      </c>
      <c r="C42" s="3" t="s">
        <v>606</v>
      </c>
      <c r="D42" s="5">
        <v>4.2297849990792856E-2</v>
      </c>
    </row>
    <row r="43" spans="1:4" x14ac:dyDescent="0.2">
      <c r="A43" t="s">
        <v>589</v>
      </c>
      <c r="B43" s="7">
        <v>2011</v>
      </c>
      <c r="C43" s="3" t="s">
        <v>606</v>
      </c>
      <c r="D43" s="5">
        <v>5.4198247373878419E-2</v>
      </c>
    </row>
    <row r="44" spans="1:4" x14ac:dyDescent="0.2">
      <c r="A44" t="s">
        <v>589</v>
      </c>
      <c r="B44" s="7">
        <v>2012</v>
      </c>
      <c r="C44" s="3" t="s">
        <v>606</v>
      </c>
      <c r="D44" s="5">
        <v>3.6064342687494672E-2</v>
      </c>
    </row>
    <row r="45" spans="1:4" x14ac:dyDescent="0.2">
      <c r="A45" t="s">
        <v>589</v>
      </c>
      <c r="B45" s="7">
        <v>2013</v>
      </c>
      <c r="C45" s="3" t="s">
        <v>606</v>
      </c>
      <c r="D45" s="5">
        <v>2.2607706092235419E-2</v>
      </c>
    </row>
    <row r="46" spans="1:4" x14ac:dyDescent="0.2">
      <c r="A46" t="s">
        <v>589</v>
      </c>
      <c r="B46" s="7">
        <v>2014</v>
      </c>
      <c r="C46" s="3" t="s">
        <v>606</v>
      </c>
      <c r="D46" s="5">
        <v>2.031855177913627E-2</v>
      </c>
    </row>
    <row r="47" spans="1:4" x14ac:dyDescent="0.2">
      <c r="A47" t="s">
        <v>589</v>
      </c>
      <c r="B47" s="7">
        <v>2015</v>
      </c>
      <c r="C47" s="3" t="s">
        <v>606</v>
      </c>
      <c r="D47" s="5">
        <v>2.2926347015487066E-2</v>
      </c>
    </row>
    <row r="48" spans="1:4" x14ac:dyDescent="0.2">
      <c r="A48" t="s">
        <v>589</v>
      </c>
      <c r="B48" s="7">
        <v>2016</v>
      </c>
      <c r="C48" s="3" t="s">
        <v>606</v>
      </c>
      <c r="D48" s="5">
        <v>1.8952891356944404E-2</v>
      </c>
    </row>
    <row r="49" spans="1:4" x14ac:dyDescent="0.2">
      <c r="A49" t="s">
        <v>589</v>
      </c>
      <c r="B49" s="7">
        <v>2017</v>
      </c>
      <c r="C49" s="3" t="s">
        <v>606</v>
      </c>
      <c r="D49" s="5">
        <v>2.9702970297029764E-2</v>
      </c>
    </row>
    <row r="50" spans="1:4" x14ac:dyDescent="0.2">
      <c r="A50" t="s">
        <v>589</v>
      </c>
      <c r="B50" s="7">
        <v>2018</v>
      </c>
      <c r="C50" s="3" t="s">
        <v>606</v>
      </c>
      <c r="D50" s="5">
        <v>2.7896672091382656E-2</v>
      </c>
    </row>
    <row r="51" spans="1:4" x14ac:dyDescent="0.2">
      <c r="A51" t="s">
        <v>589</v>
      </c>
      <c r="B51" s="7">
        <v>2019</v>
      </c>
      <c r="C51" s="3" t="s">
        <v>606</v>
      </c>
      <c r="D51" s="5">
        <v>2.3381426807823614E-2</v>
      </c>
    </row>
    <row r="52" spans="1:4" x14ac:dyDescent="0.2">
      <c r="A52" t="s">
        <v>589</v>
      </c>
      <c r="B52" s="7">
        <v>2020</v>
      </c>
      <c r="C52" s="3" t="s">
        <v>606</v>
      </c>
      <c r="D52" s="5">
        <v>1.9014736130201298E-2</v>
      </c>
    </row>
    <row r="53" spans="1:4" x14ac:dyDescent="0.2">
      <c r="A53" t="s">
        <v>589</v>
      </c>
      <c r="B53" s="7">
        <v>2021</v>
      </c>
      <c r="C53" s="3" t="s">
        <v>606</v>
      </c>
      <c r="D53" s="5">
        <v>4.6247133783945953E-2</v>
      </c>
    </row>
    <row r="54" spans="1:4" x14ac:dyDescent="0.2">
      <c r="A54" t="s">
        <v>589</v>
      </c>
      <c r="B54" s="7">
        <v>2022</v>
      </c>
      <c r="C54" s="3" t="s">
        <v>606</v>
      </c>
      <c r="D54" s="5">
        <v>7.1552112070550816E-2</v>
      </c>
    </row>
    <row r="55" spans="1:4" x14ac:dyDescent="0.2">
      <c r="A55" t="s">
        <v>589</v>
      </c>
      <c r="B55" s="7">
        <v>2023</v>
      </c>
      <c r="C55" s="3" t="s">
        <v>606</v>
      </c>
      <c r="D55" s="5">
        <v>5.2772546442724888E-2</v>
      </c>
    </row>
    <row r="56" spans="1:4" x14ac:dyDescent="0.2">
      <c r="A56" t="s">
        <v>589</v>
      </c>
      <c r="B56" s="7">
        <v>2024</v>
      </c>
      <c r="C56" s="3" t="s">
        <v>606</v>
      </c>
      <c r="D56" s="5">
        <v>3.7620799566119703E-2</v>
      </c>
    </row>
    <row r="57" spans="1:4" x14ac:dyDescent="0.2">
      <c r="A57" t="s">
        <v>589</v>
      </c>
      <c r="B57" s="7">
        <v>1970</v>
      </c>
      <c r="C57" s="3" t="s">
        <v>615</v>
      </c>
      <c r="D57" s="5">
        <v>0</v>
      </c>
    </row>
    <row r="58" spans="1:4" x14ac:dyDescent="0.2">
      <c r="A58" t="s">
        <v>589</v>
      </c>
      <c r="B58" s="7">
        <v>1971</v>
      </c>
      <c r="C58" s="3" t="s">
        <v>615</v>
      </c>
      <c r="D58" s="5">
        <v>0.18817073291219777</v>
      </c>
    </row>
    <row r="59" spans="1:4" x14ac:dyDescent="0.2">
      <c r="A59" t="s">
        <v>589</v>
      </c>
      <c r="B59" s="7">
        <v>1972</v>
      </c>
      <c r="C59" s="3" t="s">
        <v>615</v>
      </c>
      <c r="D59" s="5">
        <v>0.11089710074464776</v>
      </c>
    </row>
    <row r="60" spans="1:4" x14ac:dyDescent="0.2">
      <c r="A60" t="s">
        <v>589</v>
      </c>
      <c r="B60" s="7">
        <v>1973</v>
      </c>
      <c r="C60" s="3" t="s">
        <v>615</v>
      </c>
      <c r="D60" s="5">
        <v>0.44774710681499741</v>
      </c>
    </row>
    <row r="61" spans="1:4" x14ac:dyDescent="0.2">
      <c r="A61" t="s">
        <v>589</v>
      </c>
      <c r="B61" s="7">
        <v>1974</v>
      </c>
      <c r="C61" s="3" t="s">
        <v>615</v>
      </c>
      <c r="D61" s="5">
        <v>0.34287912835456047</v>
      </c>
    </row>
    <row r="62" spans="1:4" x14ac:dyDescent="0.2">
      <c r="A62" t="s">
        <v>589</v>
      </c>
      <c r="B62" s="7">
        <v>1975</v>
      </c>
      <c r="C62" s="3" t="s">
        <v>615</v>
      </c>
      <c r="D62" s="5">
        <v>0.25003141616316871</v>
      </c>
    </row>
    <row r="63" spans="1:4" x14ac:dyDescent="0.2">
      <c r="A63" t="s">
        <v>589</v>
      </c>
      <c r="B63" s="7">
        <v>1976</v>
      </c>
      <c r="C63" s="3" t="s">
        <v>615</v>
      </c>
      <c r="D63" s="5">
        <v>-0.12030316376910477</v>
      </c>
    </row>
    <row r="64" spans="1:4" x14ac:dyDescent="0.2">
      <c r="A64" t="s">
        <v>589</v>
      </c>
      <c r="B64" s="7">
        <v>1977</v>
      </c>
      <c r="C64" s="3" t="s">
        <v>615</v>
      </c>
      <c r="D64" s="5">
        <v>0.43894573779800061</v>
      </c>
    </row>
    <row r="65" spans="1:4" x14ac:dyDescent="0.2">
      <c r="A65" t="s">
        <v>589</v>
      </c>
      <c r="B65" s="7">
        <v>1978</v>
      </c>
      <c r="C65" s="3" t="s">
        <v>615</v>
      </c>
      <c r="D65" s="5">
        <v>0.36609642638317763</v>
      </c>
    </row>
    <row r="66" spans="1:4" x14ac:dyDescent="0.2">
      <c r="A66" t="s">
        <v>589</v>
      </c>
      <c r="B66" s="7">
        <v>1979</v>
      </c>
      <c r="C66" s="3" t="s">
        <v>615</v>
      </c>
      <c r="D66" s="5">
        <v>0.34020895600161705</v>
      </c>
    </row>
    <row r="67" spans="1:4" x14ac:dyDescent="0.2">
      <c r="A67" t="s">
        <v>589</v>
      </c>
      <c r="B67" s="7">
        <v>1980</v>
      </c>
      <c r="C67" s="3" t="s">
        <v>615</v>
      </c>
      <c r="D67" s="5">
        <v>0.41981599091670208</v>
      </c>
    </row>
    <row r="68" spans="1:4" x14ac:dyDescent="0.2">
      <c r="A68" t="s">
        <v>589</v>
      </c>
      <c r="B68" s="7">
        <v>1981</v>
      </c>
      <c r="C68" s="3" t="s">
        <v>615</v>
      </c>
      <c r="D68" s="5">
        <v>0.47309533772752044</v>
      </c>
    </row>
    <row r="69" spans="1:4" x14ac:dyDescent="0.2">
      <c r="A69" t="s">
        <v>589</v>
      </c>
      <c r="B69" s="7">
        <v>1982</v>
      </c>
      <c r="C69" s="3" t="s">
        <v>615</v>
      </c>
      <c r="D69" s="5">
        <v>2.6306030611546571E-2</v>
      </c>
    </row>
    <row r="70" spans="1:4" x14ac:dyDescent="0.2">
      <c r="A70" t="s">
        <v>589</v>
      </c>
      <c r="B70" s="7">
        <v>1983</v>
      </c>
      <c r="C70" s="3" t="s">
        <v>615</v>
      </c>
      <c r="D70" s="5">
        <v>-0.11516040276134276</v>
      </c>
    </row>
    <row r="71" spans="1:4" x14ac:dyDescent="0.2">
      <c r="A71" t="s">
        <v>589</v>
      </c>
      <c r="B71" s="7">
        <v>1984</v>
      </c>
      <c r="C71" s="3" t="s">
        <v>615</v>
      </c>
      <c r="D71" s="5">
        <v>0.21360584673231475</v>
      </c>
    </row>
    <row r="72" spans="1:4" x14ac:dyDescent="0.2">
      <c r="A72" t="s">
        <v>589</v>
      </c>
      <c r="B72" s="7">
        <v>1985</v>
      </c>
      <c r="C72" s="3" t="s">
        <v>615</v>
      </c>
      <c r="D72" s="5">
        <v>-0.18845479849975111</v>
      </c>
    </row>
    <row r="73" spans="1:4" x14ac:dyDescent="0.2">
      <c r="A73" t="s">
        <v>589</v>
      </c>
      <c r="B73" s="7">
        <v>1986</v>
      </c>
      <c r="C73" s="3" t="s">
        <v>615</v>
      </c>
      <c r="D73" s="5">
        <v>0.91918083139329831</v>
      </c>
    </row>
    <row r="74" spans="1:4" x14ac:dyDescent="0.2">
      <c r="A74" t="s">
        <v>589</v>
      </c>
      <c r="B74" s="7">
        <v>1987</v>
      </c>
      <c r="C74" s="3" t="s">
        <v>615</v>
      </c>
      <c r="D74" s="5">
        <v>0.79566169293521272</v>
      </c>
    </row>
    <row r="75" spans="1:4" x14ac:dyDescent="0.2">
      <c r="A75" t="s">
        <v>589</v>
      </c>
      <c r="B75" s="7">
        <v>1988</v>
      </c>
      <c r="C75" s="3" t="s">
        <v>615</v>
      </c>
      <c r="D75" s="5">
        <v>0.2743829644317699</v>
      </c>
    </row>
    <row r="76" spans="1:4" x14ac:dyDescent="0.2">
      <c r="A76" t="s">
        <v>589</v>
      </c>
      <c r="B76" s="7">
        <v>1989</v>
      </c>
      <c r="C76" s="3" t="s">
        <v>615</v>
      </c>
      <c r="D76" s="5">
        <v>0.28510992763049781</v>
      </c>
    </row>
    <row r="77" spans="1:4" x14ac:dyDescent="0.2">
      <c r="A77" t="s">
        <v>589</v>
      </c>
      <c r="B77" s="7">
        <v>1990</v>
      </c>
      <c r="C77" s="3" t="s">
        <v>615</v>
      </c>
      <c r="D77" s="5">
        <v>0.28160123541144699</v>
      </c>
    </row>
    <row r="78" spans="1:4" x14ac:dyDescent="0.2">
      <c r="A78" t="s">
        <v>589</v>
      </c>
      <c r="B78" s="7">
        <v>1991</v>
      </c>
      <c r="C78" s="3" t="s">
        <v>615</v>
      </c>
      <c r="D78" s="5">
        <v>-0.21093460859556556</v>
      </c>
    </row>
    <row r="79" spans="1:4" x14ac:dyDescent="0.2">
      <c r="A79" t="s">
        <v>589</v>
      </c>
      <c r="B79" s="7">
        <v>1992</v>
      </c>
      <c r="C79" s="3" t="s">
        <v>615</v>
      </c>
      <c r="D79" s="5">
        <v>0.1569634113938505</v>
      </c>
    </row>
    <row r="80" spans="1:4" x14ac:dyDescent="0.2">
      <c r="A80" t="s">
        <v>589</v>
      </c>
      <c r="B80" s="7">
        <v>1993</v>
      </c>
      <c r="C80" s="3" t="s">
        <v>615</v>
      </c>
      <c r="D80" s="5">
        <v>0.34699962467202261</v>
      </c>
    </row>
    <row r="81" spans="1:4" x14ac:dyDescent="0.2">
      <c r="A81" t="s">
        <v>589</v>
      </c>
      <c r="B81" s="7">
        <v>1994</v>
      </c>
      <c r="C81" s="3" t="s">
        <v>615</v>
      </c>
      <c r="D81" s="5">
        <v>0.28917268138481256</v>
      </c>
    </row>
    <row r="82" spans="1:4" x14ac:dyDescent="0.2">
      <c r="A82" t="s">
        <v>589</v>
      </c>
      <c r="B82" s="7">
        <v>1995</v>
      </c>
      <c r="C82" s="3" t="s">
        <v>615</v>
      </c>
      <c r="D82" s="5">
        <v>0.42577450616784218</v>
      </c>
    </row>
    <row r="83" spans="1:4" x14ac:dyDescent="0.2">
      <c r="A83" t="s">
        <v>589</v>
      </c>
      <c r="B83" s="7">
        <v>1996</v>
      </c>
      <c r="C83" s="3" t="s">
        <v>615</v>
      </c>
      <c r="D83" s="5">
        <v>0.25471353202492875</v>
      </c>
    </row>
    <row r="84" spans="1:4" x14ac:dyDescent="0.2">
      <c r="A84" t="s">
        <v>589</v>
      </c>
      <c r="B84" s="7">
        <v>1997</v>
      </c>
      <c r="C84" s="3" t="s">
        <v>615</v>
      </c>
      <c r="D84" s="5">
        <v>0.3628178285608179</v>
      </c>
    </row>
    <row r="85" spans="1:4" x14ac:dyDescent="0.2">
      <c r="A85" t="s">
        <v>589</v>
      </c>
      <c r="B85" s="7">
        <v>1998</v>
      </c>
      <c r="C85" s="3" t="s">
        <v>615</v>
      </c>
      <c r="D85" s="5">
        <v>0.55583505681597534</v>
      </c>
    </row>
    <row r="86" spans="1:4" x14ac:dyDescent="0.2">
      <c r="A86" t="s">
        <v>589</v>
      </c>
      <c r="B86" s="7">
        <v>1999</v>
      </c>
      <c r="C86" s="3" t="s">
        <v>615</v>
      </c>
      <c r="D86" s="5">
        <v>0.58390782450953749</v>
      </c>
    </row>
    <row r="87" spans="1:4" x14ac:dyDescent="0.2">
      <c r="A87" t="s">
        <v>589</v>
      </c>
      <c r="B87" s="7">
        <v>2000</v>
      </c>
      <c r="C87" s="3" t="s">
        <v>615</v>
      </c>
      <c r="D87" s="5">
        <v>0.36046511841865936</v>
      </c>
    </row>
    <row r="88" spans="1:4" x14ac:dyDescent="0.2">
      <c r="A88" t="s">
        <v>589</v>
      </c>
      <c r="B88" s="7">
        <v>2001</v>
      </c>
      <c r="C88" s="3" t="s">
        <v>615</v>
      </c>
      <c r="D88" s="5">
        <v>-0.40108854162522833</v>
      </c>
    </row>
    <row r="89" spans="1:4" x14ac:dyDescent="0.2">
      <c r="A89" t="s">
        <v>589</v>
      </c>
      <c r="B89" s="7">
        <v>2002</v>
      </c>
      <c r="C89" s="3" t="s">
        <v>615</v>
      </c>
      <c r="D89" s="5">
        <v>-0.1275322700690168</v>
      </c>
    </row>
    <row r="90" spans="1:4" x14ac:dyDescent="0.2">
      <c r="A90" t="s">
        <v>589</v>
      </c>
      <c r="B90" s="7">
        <v>2003</v>
      </c>
      <c r="C90" s="3" t="s">
        <v>615</v>
      </c>
      <c r="D90" s="5">
        <v>1.506986464527138E-2</v>
      </c>
    </row>
    <row r="91" spans="1:4" x14ac:dyDescent="0.2">
      <c r="A91" t="s">
        <v>589</v>
      </c>
      <c r="B91" s="7">
        <v>2004</v>
      </c>
      <c r="C91" s="3" t="s">
        <v>615</v>
      </c>
      <c r="D91" s="5">
        <v>0.42411994511044426</v>
      </c>
    </row>
    <row r="92" spans="1:4" x14ac:dyDescent="0.2">
      <c r="A92" t="s">
        <v>589</v>
      </c>
      <c r="B92" s="7">
        <v>2005</v>
      </c>
      <c r="C92" s="3" t="s">
        <v>615</v>
      </c>
      <c r="D92" s="5">
        <v>0.6285736374774471</v>
      </c>
    </row>
    <row r="93" spans="1:4" x14ac:dyDescent="0.2">
      <c r="A93" t="s">
        <v>589</v>
      </c>
      <c r="B93" s="7">
        <v>2006</v>
      </c>
      <c r="C93" s="3" t="s">
        <v>615</v>
      </c>
      <c r="D93" s="5">
        <v>0.48962481323779294</v>
      </c>
    </row>
    <row r="94" spans="1:4" x14ac:dyDescent="0.2">
      <c r="A94" t="s">
        <v>589</v>
      </c>
      <c r="B94" s="7">
        <v>2007</v>
      </c>
      <c r="C94" s="3" t="s">
        <v>615</v>
      </c>
      <c r="D94" s="5">
        <v>0.50367526490714343</v>
      </c>
    </row>
    <row r="95" spans="1:4" x14ac:dyDescent="0.2">
      <c r="A95" t="s">
        <v>589</v>
      </c>
      <c r="B95" s="7">
        <v>2008</v>
      </c>
      <c r="C95" s="3" t="s">
        <v>615</v>
      </c>
      <c r="D95" s="5">
        <v>-0.17124441364859566</v>
      </c>
    </row>
    <row r="96" spans="1:4" x14ac:dyDescent="0.2">
      <c r="A96" t="s">
        <v>589</v>
      </c>
      <c r="B96" s="7">
        <v>2009</v>
      </c>
      <c r="C96" s="3" t="s">
        <v>615</v>
      </c>
      <c r="D96" s="5">
        <v>-0.32910967374155786</v>
      </c>
    </row>
    <row r="97" spans="1:4" x14ac:dyDescent="0.2">
      <c r="A97" t="s">
        <v>589</v>
      </c>
      <c r="B97" s="7">
        <v>2010</v>
      </c>
      <c r="C97" s="3" t="s">
        <v>615</v>
      </c>
      <c r="D97" s="5">
        <v>0.24099746797744226</v>
      </c>
    </row>
    <row r="98" spans="1:4" x14ac:dyDescent="0.2">
      <c r="A98" t="s">
        <v>589</v>
      </c>
      <c r="B98" s="7">
        <v>2011</v>
      </c>
      <c r="C98" s="3" t="s">
        <v>615</v>
      </c>
      <c r="D98" s="5">
        <v>0.35041262134801343</v>
      </c>
    </row>
    <row r="99" spans="1:4" x14ac:dyDescent="0.2">
      <c r="A99" t="s">
        <v>589</v>
      </c>
      <c r="B99" s="7">
        <v>2012</v>
      </c>
      <c r="C99" s="3" t="s">
        <v>615</v>
      </c>
      <c r="D99" s="5">
        <v>-8.6177890327280404E-2</v>
      </c>
    </row>
    <row r="100" spans="1:4" x14ac:dyDescent="0.2">
      <c r="A100" t="s">
        <v>589</v>
      </c>
      <c r="B100" s="7">
        <v>2013</v>
      </c>
      <c r="C100" s="3" t="s">
        <v>615</v>
      </c>
      <c r="D100" s="5">
        <v>8.4468089936115431E-2</v>
      </c>
    </row>
    <row r="101" spans="1:4" x14ac:dyDescent="0.2">
      <c r="A101" t="s">
        <v>589</v>
      </c>
      <c r="B101" s="7">
        <v>2014</v>
      </c>
      <c r="C101" s="3" t="s">
        <v>615</v>
      </c>
      <c r="D101" s="5">
        <v>-7.205881801854308E-2</v>
      </c>
    </row>
    <row r="102" spans="1:4" x14ac:dyDescent="0.2">
      <c r="A102" t="s">
        <v>589</v>
      </c>
      <c r="B102" s="7">
        <v>2015</v>
      </c>
      <c r="C102" s="3" t="s">
        <v>615</v>
      </c>
      <c r="D102" s="5">
        <v>0.44857473627591293</v>
      </c>
    </row>
    <row r="103" spans="1:4" x14ac:dyDescent="0.2">
      <c r="A103" t="s">
        <v>589</v>
      </c>
      <c r="B103" s="7">
        <v>2016</v>
      </c>
      <c r="C103" s="3" t="s">
        <v>615</v>
      </c>
      <c r="D103" s="5">
        <v>6.9536224611990161E-3</v>
      </c>
    </row>
    <row r="104" spans="1:4" x14ac:dyDescent="0.2">
      <c r="A104" t="s">
        <v>589</v>
      </c>
      <c r="B104" s="7">
        <v>2017</v>
      </c>
      <c r="C104" s="3" t="s">
        <v>615</v>
      </c>
      <c r="D104" s="5">
        <v>-0.16325498186536824</v>
      </c>
    </row>
    <row r="105" spans="1:4" x14ac:dyDescent="0.2">
      <c r="A105" t="s">
        <v>589</v>
      </c>
      <c r="B105" s="7">
        <v>2018</v>
      </c>
      <c r="C105" s="3" t="s">
        <v>615</v>
      </c>
      <c r="D105" s="5">
        <v>-0.49515171561905114</v>
      </c>
    </row>
    <row r="106" spans="1:4" x14ac:dyDescent="0.2">
      <c r="A106" t="s">
        <v>589</v>
      </c>
      <c r="B106" s="7">
        <v>2019</v>
      </c>
      <c r="C106" s="3" t="s">
        <v>615</v>
      </c>
      <c r="D106" s="5">
        <v>0.80385228710667089</v>
      </c>
    </row>
    <row r="107" spans="1:4" x14ac:dyDescent="0.2">
      <c r="A107" t="s">
        <v>589</v>
      </c>
      <c r="B107" s="7">
        <v>2020</v>
      </c>
      <c r="C107" s="3" t="s">
        <v>615</v>
      </c>
      <c r="D107" s="5">
        <v>-0.37462997916113072</v>
      </c>
    </row>
    <row r="108" spans="1:4" x14ac:dyDescent="0.2">
      <c r="A108" t="s">
        <v>589</v>
      </c>
      <c r="B108" s="7">
        <v>2021</v>
      </c>
      <c r="C108" s="3" t="s">
        <v>615</v>
      </c>
      <c r="D108" s="5">
        <v>1.0814983294938489</v>
      </c>
    </row>
    <row r="109" spans="1:4" x14ac:dyDescent="0.2">
      <c r="A109" t="s">
        <v>589</v>
      </c>
      <c r="B109" s="7">
        <v>2022</v>
      </c>
      <c r="C109" s="3" t="s">
        <v>615</v>
      </c>
      <c r="D109" s="5">
        <v>-0.18452971407698449</v>
      </c>
    </row>
    <row r="110" spans="1:4" x14ac:dyDescent="0.2">
      <c r="A110" t="s">
        <v>589</v>
      </c>
      <c r="B110" s="7">
        <v>2023</v>
      </c>
      <c r="C110" s="3" t="s">
        <v>615</v>
      </c>
      <c r="D110" s="5">
        <v>-0.44778363600951032</v>
      </c>
    </row>
    <row r="111" spans="1:4" x14ac:dyDescent="0.2">
      <c r="A111" t="s">
        <v>589</v>
      </c>
      <c r="B111" s="7">
        <v>2024</v>
      </c>
      <c r="C111" s="3" t="s">
        <v>615</v>
      </c>
      <c r="D111" s="5">
        <v>0.69097869977729465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0791-CAB9-684E-B83D-6AA79A31F7C7}">
  <dimension ref="A1:D386"/>
  <sheetViews>
    <sheetView topLeftCell="A248" workbookViewId="0">
      <selection activeCell="F14" sqref="F14"/>
    </sheetView>
  </sheetViews>
  <sheetFormatPr baseColWidth="10" defaultRowHeight="16" x14ac:dyDescent="0.2"/>
  <cols>
    <col min="1" max="1" width="10.1640625" bestFit="1" customWidth="1"/>
    <col min="2" max="2" width="7.33203125" bestFit="1" customWidth="1"/>
    <col min="3" max="3" width="93.5" bestFit="1" customWidth="1"/>
    <col min="4" max="4" width="11.33203125" bestFit="1" customWidth="1"/>
  </cols>
  <sheetData>
    <row r="1" spans="1:4" x14ac:dyDescent="0.2">
      <c r="A1" t="s">
        <v>604</v>
      </c>
      <c r="B1" t="s">
        <v>603</v>
      </c>
      <c r="C1" t="s">
        <v>610</v>
      </c>
      <c r="D1" s="2" t="s">
        <v>611</v>
      </c>
    </row>
    <row r="2" spans="1:4" x14ac:dyDescent="0.2">
      <c r="A2" t="s">
        <v>589</v>
      </c>
      <c r="B2" s="7">
        <v>1970</v>
      </c>
      <c r="C2" s="3" t="s">
        <v>71</v>
      </c>
      <c r="D2" s="2">
        <v>4.7220140023282084</v>
      </c>
    </row>
    <row r="3" spans="1:4" x14ac:dyDescent="0.2">
      <c r="A3" t="s">
        <v>589</v>
      </c>
      <c r="B3" s="7">
        <v>1971</v>
      </c>
      <c r="C3" s="3" t="s">
        <v>71</v>
      </c>
      <c r="D3" s="2">
        <v>5.4644251791602301</v>
      </c>
    </row>
    <row r="4" spans="1:4" x14ac:dyDescent="0.2">
      <c r="A4" t="s">
        <v>589</v>
      </c>
      <c r="B4" s="7">
        <v>1972</v>
      </c>
      <c r="C4" s="3" t="s">
        <v>71</v>
      </c>
      <c r="D4" s="2">
        <v>6.3881389287516868</v>
      </c>
    </row>
    <row r="5" spans="1:4" x14ac:dyDescent="0.2">
      <c r="A5" t="s">
        <v>589</v>
      </c>
      <c r="B5" s="7">
        <v>1973</v>
      </c>
      <c r="C5" s="3" t="s">
        <v>71</v>
      </c>
      <c r="D5" s="2">
        <v>11.847047061847995</v>
      </c>
    </row>
    <row r="6" spans="1:4" x14ac:dyDescent="0.2">
      <c r="A6" t="s">
        <v>589</v>
      </c>
      <c r="B6" s="7">
        <v>1974</v>
      </c>
      <c r="C6" s="3" t="s">
        <v>71</v>
      </c>
      <c r="D6" s="2">
        <v>16.714355406778935</v>
      </c>
    </row>
    <row r="7" spans="1:4" x14ac:dyDescent="0.2">
      <c r="A7" t="s">
        <v>589</v>
      </c>
      <c r="B7" s="7">
        <v>1975</v>
      </c>
      <c r="C7" s="3" t="s">
        <v>71</v>
      </c>
      <c r="D7" s="2">
        <v>10.484570374597027</v>
      </c>
    </row>
    <row r="8" spans="1:4" x14ac:dyDescent="0.2">
      <c r="A8" t="s">
        <v>589</v>
      </c>
      <c r="B8" s="7">
        <v>1976</v>
      </c>
      <c r="C8" s="3" t="s">
        <v>71</v>
      </c>
      <c r="D8" s="2">
        <v>9.2815220186309517</v>
      </c>
    </row>
    <row r="9" spans="1:4" x14ac:dyDescent="0.2">
      <c r="A9" t="s">
        <v>589</v>
      </c>
      <c r="B9" s="7">
        <v>1977</v>
      </c>
      <c r="C9" s="3" t="s">
        <v>71</v>
      </c>
      <c r="D9" s="2">
        <v>9.6930856082707564</v>
      </c>
    </row>
    <row r="10" spans="1:4" x14ac:dyDescent="0.2">
      <c r="A10" t="s">
        <v>589</v>
      </c>
      <c r="B10" s="7">
        <v>1978</v>
      </c>
      <c r="C10" s="3" t="s">
        <v>71</v>
      </c>
      <c r="D10" s="2">
        <v>7.7978014064391701</v>
      </c>
    </row>
    <row r="11" spans="1:4" x14ac:dyDescent="0.2">
      <c r="A11" t="s">
        <v>589</v>
      </c>
      <c r="B11" s="7">
        <v>1979</v>
      </c>
      <c r="C11" s="3" t="s">
        <v>71</v>
      </c>
      <c r="D11" s="2">
        <v>11.512247233014726</v>
      </c>
    </row>
    <row r="12" spans="1:4" x14ac:dyDescent="0.2">
      <c r="A12" t="s">
        <v>589</v>
      </c>
      <c r="B12" s="7">
        <v>1980</v>
      </c>
      <c r="C12" s="3" t="s">
        <v>71</v>
      </c>
      <c r="D12" s="2">
        <v>13.053545689500751</v>
      </c>
    </row>
    <row r="13" spans="1:4" x14ac:dyDescent="0.2">
      <c r="A13" t="s">
        <v>589</v>
      </c>
      <c r="B13" s="7">
        <v>1981</v>
      </c>
      <c r="C13" s="3" t="s">
        <v>71</v>
      </c>
      <c r="D13" s="2">
        <v>10.150714648163287</v>
      </c>
    </row>
    <row r="14" spans="1:4" x14ac:dyDescent="0.2">
      <c r="A14" t="s">
        <v>589</v>
      </c>
      <c r="B14" s="7">
        <v>1982</v>
      </c>
      <c r="C14" s="3" t="s">
        <v>71</v>
      </c>
      <c r="D14" s="2">
        <v>8.1130868418377844</v>
      </c>
    </row>
    <row r="15" spans="1:4" x14ac:dyDescent="0.2">
      <c r="A15" t="s">
        <v>589</v>
      </c>
      <c r="B15" s="7">
        <v>1983</v>
      </c>
      <c r="C15" s="3" t="s">
        <v>71</v>
      </c>
      <c r="D15" s="2">
        <v>7.7252723865774726</v>
      </c>
    </row>
    <row r="16" spans="1:4" x14ac:dyDescent="0.2">
      <c r="A16" t="s">
        <v>589</v>
      </c>
      <c r="B16" s="7">
        <v>1984</v>
      </c>
      <c r="C16" s="3" t="s">
        <v>71</v>
      </c>
      <c r="D16" s="2">
        <v>7.9232328482273857</v>
      </c>
    </row>
    <row r="17" spans="1:4" x14ac:dyDescent="0.2">
      <c r="A17" t="s">
        <v>589</v>
      </c>
      <c r="B17" s="7">
        <v>1985</v>
      </c>
      <c r="C17" s="3" t="s">
        <v>71</v>
      </c>
      <c r="D17" s="2">
        <v>5.5268201428267787</v>
      </c>
    </row>
    <row r="18" spans="1:4" x14ac:dyDescent="0.2">
      <c r="A18" t="s">
        <v>589</v>
      </c>
      <c r="B18" s="7">
        <v>1986</v>
      </c>
      <c r="C18" s="3" t="s">
        <v>71</v>
      </c>
      <c r="D18" s="2">
        <v>5.2394149768332738</v>
      </c>
    </row>
    <row r="19" spans="1:4" x14ac:dyDescent="0.2">
      <c r="A19" t="s">
        <v>589</v>
      </c>
      <c r="B19" s="7">
        <v>1987</v>
      </c>
      <c r="C19" s="3" t="s">
        <v>71</v>
      </c>
      <c r="D19" s="2">
        <v>7.1763685109351698</v>
      </c>
    </row>
    <row r="20" spans="1:4" x14ac:dyDescent="0.2">
      <c r="A20" t="s">
        <v>589</v>
      </c>
      <c r="B20" s="7">
        <v>1988</v>
      </c>
      <c r="C20" s="3" t="s">
        <v>71</v>
      </c>
      <c r="D20" s="2">
        <v>6.5134153194451088</v>
      </c>
    </row>
    <row r="21" spans="1:4" x14ac:dyDescent="0.2">
      <c r="A21" t="s">
        <v>589</v>
      </c>
      <c r="B21" s="7">
        <v>1989</v>
      </c>
      <c r="C21" s="3" t="s">
        <v>71</v>
      </c>
      <c r="D21" s="2">
        <v>7.1477388277844369</v>
      </c>
    </row>
    <row r="22" spans="1:4" x14ac:dyDescent="0.2">
      <c r="A22" t="s">
        <v>589</v>
      </c>
      <c r="B22" s="7">
        <v>1990</v>
      </c>
      <c r="C22" s="3" t="s">
        <v>71</v>
      </c>
      <c r="D22" s="2">
        <v>7.9878494717877047</v>
      </c>
    </row>
    <row r="23" spans="1:4" x14ac:dyDescent="0.2">
      <c r="A23" t="s">
        <v>589</v>
      </c>
      <c r="B23" s="7">
        <v>1991</v>
      </c>
      <c r="C23" s="3" t="s">
        <v>71</v>
      </c>
      <c r="D23" s="2">
        <v>8.6656589447414589</v>
      </c>
    </row>
    <row r="24" spans="1:4" x14ac:dyDescent="0.2">
      <c r="A24" t="s">
        <v>589</v>
      </c>
      <c r="B24" s="7">
        <v>1992</v>
      </c>
      <c r="C24" s="3" t="s">
        <v>71</v>
      </c>
      <c r="D24" s="2">
        <v>7.3440669291872496</v>
      </c>
    </row>
    <row r="25" spans="1:4" x14ac:dyDescent="0.2">
      <c r="A25" t="s">
        <v>589</v>
      </c>
      <c r="B25" s="7">
        <v>1993</v>
      </c>
      <c r="C25" s="3" t="s">
        <v>71</v>
      </c>
      <c r="D25" s="2">
        <v>8.085875532060868</v>
      </c>
    </row>
    <row r="26" spans="1:4" x14ac:dyDescent="0.2">
      <c r="A26" t="s">
        <v>589</v>
      </c>
      <c r="B26" s="7">
        <v>1994</v>
      </c>
      <c r="C26" s="3" t="s">
        <v>71</v>
      </c>
      <c r="D26" s="2">
        <v>9.808157634572396</v>
      </c>
    </row>
    <row r="27" spans="1:4" x14ac:dyDescent="0.2">
      <c r="A27" t="s">
        <v>589</v>
      </c>
      <c r="B27" s="7">
        <v>1995</v>
      </c>
      <c r="C27" s="3" t="s">
        <v>71</v>
      </c>
      <c r="D27" s="2">
        <v>8.6759675785591099</v>
      </c>
    </row>
    <row r="28" spans="1:4" x14ac:dyDescent="0.2">
      <c r="A28" t="s">
        <v>589</v>
      </c>
      <c r="B28" s="7">
        <v>1996</v>
      </c>
      <c r="C28" s="3" t="s">
        <v>71</v>
      </c>
      <c r="D28" s="2">
        <v>6.6196380707603097</v>
      </c>
    </row>
    <row r="29" spans="1:4" x14ac:dyDescent="0.2">
      <c r="A29" t="s">
        <v>589</v>
      </c>
      <c r="B29" s="7">
        <v>1997</v>
      </c>
      <c r="C29" s="3" t="s">
        <v>71</v>
      </c>
      <c r="D29" s="2">
        <v>4.4565708952409793</v>
      </c>
    </row>
    <row r="30" spans="1:4" x14ac:dyDescent="0.2">
      <c r="A30" t="s">
        <v>589</v>
      </c>
      <c r="B30" s="7">
        <v>1998</v>
      </c>
      <c r="C30" s="3" t="s">
        <v>71</v>
      </c>
      <c r="D30" s="2">
        <v>4.6919666498717589</v>
      </c>
    </row>
    <row r="31" spans="1:4" x14ac:dyDescent="0.2">
      <c r="A31" t="s">
        <v>589</v>
      </c>
      <c r="B31" s="7">
        <v>1999</v>
      </c>
      <c r="C31" s="3" t="s">
        <v>71</v>
      </c>
      <c r="D31" s="2">
        <v>4.3396883849730585</v>
      </c>
    </row>
    <row r="32" spans="1:4" x14ac:dyDescent="0.2">
      <c r="A32" t="s">
        <v>589</v>
      </c>
      <c r="B32" s="7">
        <v>2000</v>
      </c>
      <c r="C32" s="3" t="s">
        <v>71</v>
      </c>
      <c r="D32" s="2">
        <v>4.9368080115609132</v>
      </c>
    </row>
    <row r="33" spans="1:4" x14ac:dyDescent="0.2">
      <c r="A33" t="s">
        <v>589</v>
      </c>
      <c r="B33" s="7">
        <v>2001</v>
      </c>
      <c r="C33" s="3" t="s">
        <v>71</v>
      </c>
      <c r="D33" s="2">
        <v>3.961552917150172</v>
      </c>
    </row>
    <row r="34" spans="1:4" x14ac:dyDescent="0.2">
      <c r="A34" t="s">
        <v>589</v>
      </c>
      <c r="B34" s="7">
        <v>2002</v>
      </c>
      <c r="C34" s="3" t="s">
        <v>71</v>
      </c>
      <c r="D34" s="2">
        <v>3.5542132545605369</v>
      </c>
    </row>
    <row r="35" spans="1:4" x14ac:dyDescent="0.2">
      <c r="A35" t="s">
        <v>589</v>
      </c>
      <c r="B35" s="7">
        <v>2003</v>
      </c>
      <c r="C35" s="3" t="s">
        <v>71</v>
      </c>
      <c r="D35" s="2">
        <v>3.9745624299609545</v>
      </c>
    </row>
    <row r="36" spans="1:4" x14ac:dyDescent="0.2">
      <c r="A36" t="s">
        <v>589</v>
      </c>
      <c r="B36" s="7">
        <v>2004</v>
      </c>
      <c r="C36" s="3" t="s">
        <v>71</v>
      </c>
      <c r="D36" s="2">
        <v>5.7254132279322789</v>
      </c>
    </row>
    <row r="37" spans="1:4" x14ac:dyDescent="0.2">
      <c r="A37" t="s">
        <v>589</v>
      </c>
      <c r="B37" s="7">
        <v>2005</v>
      </c>
      <c r="C37" s="3" t="s">
        <v>71</v>
      </c>
      <c r="D37" s="2">
        <v>5.6684356262420437</v>
      </c>
    </row>
    <row r="38" spans="1:4" x14ac:dyDescent="0.2">
      <c r="A38" t="s">
        <v>589</v>
      </c>
      <c r="B38" s="7">
        <v>2006</v>
      </c>
      <c r="C38" s="3" t="s">
        <v>71</v>
      </c>
      <c r="D38" s="2">
        <v>5.8076608733047692</v>
      </c>
    </row>
    <row r="39" spans="1:4" x14ac:dyDescent="0.2">
      <c r="A39" t="s">
        <v>589</v>
      </c>
      <c r="B39" s="7">
        <v>2007</v>
      </c>
      <c r="C39" s="3" t="s">
        <v>71</v>
      </c>
      <c r="D39" s="2">
        <v>5.8468923119352212</v>
      </c>
    </row>
    <row r="40" spans="1:4" x14ac:dyDescent="0.2">
      <c r="A40" t="s">
        <v>589</v>
      </c>
      <c r="B40" s="7">
        <v>2008</v>
      </c>
      <c r="C40" s="3" t="s">
        <v>71</v>
      </c>
      <c r="D40" s="2">
        <v>7.8565864646320591</v>
      </c>
    </row>
    <row r="41" spans="1:4" x14ac:dyDescent="0.2">
      <c r="A41" t="s">
        <v>589</v>
      </c>
      <c r="B41" s="7">
        <v>2009</v>
      </c>
      <c r="C41" s="3" t="s">
        <v>71</v>
      </c>
      <c r="D41" s="2">
        <v>2.1165450194592665</v>
      </c>
    </row>
    <row r="42" spans="1:4" x14ac:dyDescent="0.2">
      <c r="A42" t="s">
        <v>589</v>
      </c>
      <c r="B42" s="7">
        <v>2010</v>
      </c>
      <c r="C42" s="3" t="s">
        <v>71</v>
      </c>
      <c r="D42" s="2">
        <v>4.2297849990792855</v>
      </c>
    </row>
    <row r="43" spans="1:4" x14ac:dyDescent="0.2">
      <c r="A43" t="s">
        <v>589</v>
      </c>
      <c r="B43" s="7">
        <v>2011</v>
      </c>
      <c r="C43" s="3" t="s">
        <v>71</v>
      </c>
      <c r="D43" s="2">
        <v>5.4198247373878417</v>
      </c>
    </row>
    <row r="44" spans="1:4" x14ac:dyDescent="0.2">
      <c r="A44" t="s">
        <v>589</v>
      </c>
      <c r="B44" s="7">
        <v>2012</v>
      </c>
      <c r="C44" s="3" t="s">
        <v>71</v>
      </c>
      <c r="D44" s="2">
        <v>3.6064342687494673</v>
      </c>
    </row>
    <row r="45" spans="1:4" x14ac:dyDescent="0.2">
      <c r="A45" t="s">
        <v>589</v>
      </c>
      <c r="B45" s="7">
        <v>2013</v>
      </c>
      <c r="C45" s="3" t="s">
        <v>71</v>
      </c>
      <c r="D45" s="2">
        <v>2.2607706092235418</v>
      </c>
    </row>
    <row r="46" spans="1:4" x14ac:dyDescent="0.2">
      <c r="A46" t="s">
        <v>589</v>
      </c>
      <c r="B46" s="7">
        <v>2014</v>
      </c>
      <c r="C46" s="3" t="s">
        <v>71</v>
      </c>
      <c r="D46" s="2">
        <v>2.0318551779136271</v>
      </c>
    </row>
    <row r="47" spans="1:4" x14ac:dyDescent="0.2">
      <c r="A47" t="s">
        <v>589</v>
      </c>
      <c r="B47" s="7">
        <v>2015</v>
      </c>
      <c r="C47" s="3" t="s">
        <v>71</v>
      </c>
      <c r="D47" s="2">
        <v>2.2926347015487067</v>
      </c>
    </row>
    <row r="48" spans="1:4" x14ac:dyDescent="0.2">
      <c r="A48" t="s">
        <v>589</v>
      </c>
      <c r="B48" s="7">
        <v>2016</v>
      </c>
      <c r="C48" s="3" t="s">
        <v>71</v>
      </c>
      <c r="D48" s="2">
        <v>1.8952891356944406</v>
      </c>
    </row>
    <row r="49" spans="1:4" x14ac:dyDescent="0.2">
      <c r="A49" t="s">
        <v>589</v>
      </c>
      <c r="B49" s="7">
        <v>2017</v>
      </c>
      <c r="C49" s="3" t="s">
        <v>71</v>
      </c>
      <c r="D49" s="2">
        <v>2.9702970297029765</v>
      </c>
    </row>
    <row r="50" spans="1:4" x14ac:dyDescent="0.2">
      <c r="A50" t="s">
        <v>589</v>
      </c>
      <c r="B50" s="7">
        <v>2018</v>
      </c>
      <c r="C50" s="3" t="s">
        <v>71</v>
      </c>
      <c r="D50" s="2">
        <v>2.7896672091382655</v>
      </c>
    </row>
    <row r="51" spans="1:4" x14ac:dyDescent="0.2">
      <c r="A51" t="s">
        <v>589</v>
      </c>
      <c r="B51" s="7">
        <v>2019</v>
      </c>
      <c r="C51" s="3" t="s">
        <v>71</v>
      </c>
      <c r="D51" s="2">
        <v>2.3381426807823615</v>
      </c>
    </row>
    <row r="52" spans="1:4" x14ac:dyDescent="0.2">
      <c r="A52" t="s">
        <v>589</v>
      </c>
      <c r="B52" s="7">
        <v>2020</v>
      </c>
      <c r="C52" s="3" t="s">
        <v>71</v>
      </c>
      <c r="D52" s="2">
        <v>1.90147361302013</v>
      </c>
    </row>
    <row r="53" spans="1:4" x14ac:dyDescent="0.2">
      <c r="A53" t="s">
        <v>589</v>
      </c>
      <c r="B53" s="7">
        <v>2021</v>
      </c>
      <c r="C53" s="3" t="s">
        <v>71</v>
      </c>
      <c r="D53" s="2">
        <v>4.6247133783945955</v>
      </c>
    </row>
    <row r="54" spans="1:4" x14ac:dyDescent="0.2">
      <c r="A54" t="s">
        <v>589</v>
      </c>
      <c r="B54" s="7">
        <v>2022</v>
      </c>
      <c r="C54" s="3" t="s">
        <v>71</v>
      </c>
      <c r="D54" s="2">
        <v>7.155211207055082</v>
      </c>
    </row>
    <row r="55" spans="1:4" x14ac:dyDescent="0.2">
      <c r="A55" t="s">
        <v>589</v>
      </c>
      <c r="B55" s="7">
        <v>2023</v>
      </c>
      <c r="C55" s="3" t="s">
        <v>71</v>
      </c>
      <c r="D55" s="2">
        <v>5.2772546442724888</v>
      </c>
    </row>
    <row r="56" spans="1:4" x14ac:dyDescent="0.2">
      <c r="A56" t="s">
        <v>589</v>
      </c>
      <c r="B56" s="7">
        <v>2024</v>
      </c>
      <c r="C56" s="3" t="s">
        <v>71</v>
      </c>
      <c r="D56" s="2">
        <v>3.76207995661197</v>
      </c>
    </row>
    <row r="57" spans="1:4" x14ac:dyDescent="0.2">
      <c r="A57" t="s">
        <v>589</v>
      </c>
      <c r="B57" s="7">
        <v>1970</v>
      </c>
      <c r="C57" s="3" t="s">
        <v>606</v>
      </c>
      <c r="D57" s="5">
        <f>D2/100</f>
        <v>4.7220140023282085E-2</v>
      </c>
    </row>
    <row r="58" spans="1:4" x14ac:dyDescent="0.2">
      <c r="A58" t="s">
        <v>589</v>
      </c>
      <c r="B58" s="7">
        <v>1971</v>
      </c>
      <c r="C58" s="3" t="s">
        <v>606</v>
      </c>
      <c r="D58" s="5">
        <f t="shared" ref="D58:D111" si="0">D3/100</f>
        <v>5.4644251791602302E-2</v>
      </c>
    </row>
    <row r="59" spans="1:4" x14ac:dyDescent="0.2">
      <c r="A59" t="s">
        <v>589</v>
      </c>
      <c r="B59" s="7">
        <v>1972</v>
      </c>
      <c r="C59" s="3" t="s">
        <v>606</v>
      </c>
      <c r="D59" s="5">
        <f t="shared" si="0"/>
        <v>6.3881389287516868E-2</v>
      </c>
    </row>
    <row r="60" spans="1:4" x14ac:dyDescent="0.2">
      <c r="A60" t="s">
        <v>589</v>
      </c>
      <c r="B60" s="7">
        <v>1973</v>
      </c>
      <c r="C60" s="3" t="s">
        <v>606</v>
      </c>
      <c r="D60" s="5">
        <f t="shared" si="0"/>
        <v>0.11847047061847996</v>
      </c>
    </row>
    <row r="61" spans="1:4" x14ac:dyDescent="0.2">
      <c r="A61" t="s">
        <v>589</v>
      </c>
      <c r="B61" s="7">
        <v>1974</v>
      </c>
      <c r="C61" s="3" t="s">
        <v>606</v>
      </c>
      <c r="D61" s="5">
        <f t="shared" si="0"/>
        <v>0.16714355406778936</v>
      </c>
    </row>
    <row r="62" spans="1:4" x14ac:dyDescent="0.2">
      <c r="A62" t="s">
        <v>589</v>
      </c>
      <c r="B62" s="7">
        <v>1975</v>
      </c>
      <c r="C62" s="3" t="s">
        <v>606</v>
      </c>
      <c r="D62" s="5">
        <f t="shared" si="0"/>
        <v>0.10484570374597027</v>
      </c>
    </row>
    <row r="63" spans="1:4" x14ac:dyDescent="0.2">
      <c r="A63" t="s">
        <v>589</v>
      </c>
      <c r="B63" s="7">
        <v>1976</v>
      </c>
      <c r="C63" s="3" t="s">
        <v>606</v>
      </c>
      <c r="D63" s="5">
        <f t="shared" si="0"/>
        <v>9.2815220186309513E-2</v>
      </c>
    </row>
    <row r="64" spans="1:4" x14ac:dyDescent="0.2">
      <c r="A64" t="s">
        <v>589</v>
      </c>
      <c r="B64" s="7">
        <v>1977</v>
      </c>
      <c r="C64" s="3" t="s">
        <v>606</v>
      </c>
      <c r="D64" s="5">
        <f t="shared" si="0"/>
        <v>9.6930856082707559E-2</v>
      </c>
    </row>
    <row r="65" spans="1:4" x14ac:dyDescent="0.2">
      <c r="A65" t="s">
        <v>589</v>
      </c>
      <c r="B65" s="7">
        <v>1978</v>
      </c>
      <c r="C65" s="3" t="s">
        <v>606</v>
      </c>
      <c r="D65" s="5">
        <f t="shared" si="0"/>
        <v>7.7978014064391699E-2</v>
      </c>
    </row>
    <row r="66" spans="1:4" x14ac:dyDescent="0.2">
      <c r="A66" t="s">
        <v>589</v>
      </c>
      <c r="B66" s="7">
        <v>1979</v>
      </c>
      <c r="C66" s="3" t="s">
        <v>606</v>
      </c>
      <c r="D66" s="5">
        <f t="shared" si="0"/>
        <v>0.11512247233014726</v>
      </c>
    </row>
    <row r="67" spans="1:4" x14ac:dyDescent="0.2">
      <c r="A67" t="s">
        <v>589</v>
      </c>
      <c r="B67" s="7">
        <v>1980</v>
      </c>
      <c r="C67" s="3" t="s">
        <v>606</v>
      </c>
      <c r="D67" s="5">
        <f t="shared" si="0"/>
        <v>0.13053545689500751</v>
      </c>
    </row>
    <row r="68" spans="1:4" x14ac:dyDescent="0.2">
      <c r="A68" t="s">
        <v>589</v>
      </c>
      <c r="B68" s="7">
        <v>1981</v>
      </c>
      <c r="C68" s="3" t="s">
        <v>606</v>
      </c>
      <c r="D68" s="5">
        <f t="shared" si="0"/>
        <v>0.10150714648163288</v>
      </c>
    </row>
    <row r="69" spans="1:4" x14ac:dyDescent="0.2">
      <c r="A69" t="s">
        <v>589</v>
      </c>
      <c r="B69" s="7">
        <v>1982</v>
      </c>
      <c r="C69" s="3" t="s">
        <v>606</v>
      </c>
      <c r="D69" s="5">
        <f t="shared" si="0"/>
        <v>8.1130868418377841E-2</v>
      </c>
    </row>
    <row r="70" spans="1:4" x14ac:dyDescent="0.2">
      <c r="A70" t="s">
        <v>589</v>
      </c>
      <c r="B70" s="7">
        <v>1983</v>
      </c>
      <c r="C70" s="3" t="s">
        <v>606</v>
      </c>
      <c r="D70" s="5">
        <f t="shared" si="0"/>
        <v>7.7252723865774725E-2</v>
      </c>
    </row>
    <row r="71" spans="1:4" x14ac:dyDescent="0.2">
      <c r="A71" t="s">
        <v>589</v>
      </c>
      <c r="B71" s="7">
        <v>1984</v>
      </c>
      <c r="C71" s="3" t="s">
        <v>606</v>
      </c>
      <c r="D71" s="5">
        <f t="shared" si="0"/>
        <v>7.9232328482273851E-2</v>
      </c>
    </row>
    <row r="72" spans="1:4" x14ac:dyDescent="0.2">
      <c r="A72" t="s">
        <v>589</v>
      </c>
      <c r="B72" s="7">
        <v>1985</v>
      </c>
      <c r="C72" s="3" t="s">
        <v>606</v>
      </c>
      <c r="D72" s="5">
        <f t="shared" si="0"/>
        <v>5.5268201428267785E-2</v>
      </c>
    </row>
    <row r="73" spans="1:4" x14ac:dyDescent="0.2">
      <c r="A73" t="s">
        <v>589</v>
      </c>
      <c r="B73" s="7">
        <v>1986</v>
      </c>
      <c r="C73" s="3" t="s">
        <v>606</v>
      </c>
      <c r="D73" s="5">
        <f t="shared" si="0"/>
        <v>5.2394149768332739E-2</v>
      </c>
    </row>
    <row r="74" spans="1:4" x14ac:dyDescent="0.2">
      <c r="A74" t="s">
        <v>589</v>
      </c>
      <c r="B74" s="7">
        <v>1987</v>
      </c>
      <c r="C74" s="3" t="s">
        <v>606</v>
      </c>
      <c r="D74" s="5">
        <f t="shared" si="0"/>
        <v>7.1763685109351702E-2</v>
      </c>
    </row>
    <row r="75" spans="1:4" x14ac:dyDescent="0.2">
      <c r="A75" t="s">
        <v>589</v>
      </c>
      <c r="B75" s="7">
        <v>1988</v>
      </c>
      <c r="C75" s="3" t="s">
        <v>606</v>
      </c>
      <c r="D75" s="5">
        <f t="shared" si="0"/>
        <v>6.5134153194451094E-2</v>
      </c>
    </row>
    <row r="76" spans="1:4" x14ac:dyDescent="0.2">
      <c r="A76" t="s">
        <v>589</v>
      </c>
      <c r="B76" s="7">
        <v>1989</v>
      </c>
      <c r="C76" s="3" t="s">
        <v>606</v>
      </c>
      <c r="D76" s="5">
        <f t="shared" si="0"/>
        <v>7.1477388277844375E-2</v>
      </c>
    </row>
    <row r="77" spans="1:4" x14ac:dyDescent="0.2">
      <c r="A77" t="s">
        <v>589</v>
      </c>
      <c r="B77" s="7">
        <v>1990</v>
      </c>
      <c r="C77" s="3" t="s">
        <v>606</v>
      </c>
      <c r="D77" s="5">
        <f t="shared" si="0"/>
        <v>7.9878494717877044E-2</v>
      </c>
    </row>
    <row r="78" spans="1:4" x14ac:dyDescent="0.2">
      <c r="A78" t="s">
        <v>589</v>
      </c>
      <c r="B78" s="7">
        <v>1991</v>
      </c>
      <c r="C78" s="3" t="s">
        <v>606</v>
      </c>
      <c r="D78" s="5">
        <f t="shared" si="0"/>
        <v>8.6656589447414584E-2</v>
      </c>
    </row>
    <row r="79" spans="1:4" x14ac:dyDescent="0.2">
      <c r="A79" t="s">
        <v>589</v>
      </c>
      <c r="B79" s="7">
        <v>1992</v>
      </c>
      <c r="C79" s="3" t="s">
        <v>606</v>
      </c>
      <c r="D79" s="5">
        <f t="shared" si="0"/>
        <v>7.3440669291872498E-2</v>
      </c>
    </row>
    <row r="80" spans="1:4" x14ac:dyDescent="0.2">
      <c r="A80" t="s">
        <v>589</v>
      </c>
      <c r="B80" s="7">
        <v>1993</v>
      </c>
      <c r="C80" s="3" t="s">
        <v>606</v>
      </c>
      <c r="D80" s="5">
        <f t="shared" si="0"/>
        <v>8.0858755320608683E-2</v>
      </c>
    </row>
    <row r="81" spans="1:4" x14ac:dyDescent="0.2">
      <c r="A81" t="s">
        <v>589</v>
      </c>
      <c r="B81" s="7">
        <v>1994</v>
      </c>
      <c r="C81" s="3" t="s">
        <v>606</v>
      </c>
      <c r="D81" s="5">
        <f t="shared" si="0"/>
        <v>9.8081576345723953E-2</v>
      </c>
    </row>
    <row r="82" spans="1:4" x14ac:dyDescent="0.2">
      <c r="A82" t="s">
        <v>589</v>
      </c>
      <c r="B82" s="7">
        <v>1995</v>
      </c>
      <c r="C82" s="3" t="s">
        <v>606</v>
      </c>
      <c r="D82" s="5">
        <f t="shared" si="0"/>
        <v>8.67596757855911E-2</v>
      </c>
    </row>
    <row r="83" spans="1:4" x14ac:dyDescent="0.2">
      <c r="A83" t="s">
        <v>589</v>
      </c>
      <c r="B83" s="7">
        <v>1996</v>
      </c>
      <c r="C83" s="3" t="s">
        <v>606</v>
      </c>
      <c r="D83" s="5">
        <f t="shared" si="0"/>
        <v>6.61963807076031E-2</v>
      </c>
    </row>
    <row r="84" spans="1:4" x14ac:dyDescent="0.2">
      <c r="A84" t="s">
        <v>589</v>
      </c>
      <c r="B84" s="7">
        <v>1997</v>
      </c>
      <c r="C84" s="3" t="s">
        <v>606</v>
      </c>
      <c r="D84" s="5">
        <f t="shared" si="0"/>
        <v>4.4565708952409792E-2</v>
      </c>
    </row>
    <row r="85" spans="1:4" x14ac:dyDescent="0.2">
      <c r="A85" t="s">
        <v>589</v>
      </c>
      <c r="B85" s="7">
        <v>1998</v>
      </c>
      <c r="C85" s="3" t="s">
        <v>606</v>
      </c>
      <c r="D85" s="5">
        <f t="shared" si="0"/>
        <v>4.6919666498717587E-2</v>
      </c>
    </row>
    <row r="86" spans="1:4" x14ac:dyDescent="0.2">
      <c r="A86" t="s">
        <v>589</v>
      </c>
      <c r="B86" s="7">
        <v>1999</v>
      </c>
      <c r="C86" s="3" t="s">
        <v>606</v>
      </c>
      <c r="D86" s="5">
        <f t="shared" si="0"/>
        <v>4.3396883849730589E-2</v>
      </c>
    </row>
    <row r="87" spans="1:4" x14ac:dyDescent="0.2">
      <c r="A87" t="s">
        <v>589</v>
      </c>
      <c r="B87" s="7">
        <v>2000</v>
      </c>
      <c r="C87" s="3" t="s">
        <v>606</v>
      </c>
      <c r="D87" s="5">
        <f t="shared" si="0"/>
        <v>4.9368080115609135E-2</v>
      </c>
    </row>
    <row r="88" spans="1:4" x14ac:dyDescent="0.2">
      <c r="A88" t="s">
        <v>589</v>
      </c>
      <c r="B88" s="7">
        <v>2001</v>
      </c>
      <c r="C88" s="3" t="s">
        <v>606</v>
      </c>
      <c r="D88" s="5">
        <f t="shared" si="0"/>
        <v>3.9615529171501719E-2</v>
      </c>
    </row>
    <row r="89" spans="1:4" x14ac:dyDescent="0.2">
      <c r="A89" t="s">
        <v>589</v>
      </c>
      <c r="B89" s="7">
        <v>2002</v>
      </c>
      <c r="C89" s="3" t="s">
        <v>606</v>
      </c>
      <c r="D89" s="5">
        <f t="shared" si="0"/>
        <v>3.554213254560537E-2</v>
      </c>
    </row>
    <row r="90" spans="1:4" x14ac:dyDescent="0.2">
      <c r="A90" t="s">
        <v>589</v>
      </c>
      <c r="B90" s="7">
        <v>2003</v>
      </c>
      <c r="C90" s="3" t="s">
        <v>606</v>
      </c>
      <c r="D90" s="5">
        <f t="shared" si="0"/>
        <v>3.9745624299609546E-2</v>
      </c>
    </row>
    <row r="91" spans="1:4" x14ac:dyDescent="0.2">
      <c r="A91" t="s">
        <v>589</v>
      </c>
      <c r="B91" s="7">
        <v>2004</v>
      </c>
      <c r="C91" s="3" t="s">
        <v>606</v>
      </c>
      <c r="D91" s="5">
        <f t="shared" si="0"/>
        <v>5.7254132279322786E-2</v>
      </c>
    </row>
    <row r="92" spans="1:4" x14ac:dyDescent="0.2">
      <c r="A92" t="s">
        <v>589</v>
      </c>
      <c r="B92" s="7">
        <v>2005</v>
      </c>
      <c r="C92" s="3" t="s">
        <v>606</v>
      </c>
      <c r="D92" s="5">
        <f t="shared" si="0"/>
        <v>5.6684356262420438E-2</v>
      </c>
    </row>
    <row r="93" spans="1:4" x14ac:dyDescent="0.2">
      <c r="A93" t="s">
        <v>589</v>
      </c>
      <c r="B93" s="7">
        <v>2006</v>
      </c>
      <c r="C93" s="3" t="s">
        <v>606</v>
      </c>
      <c r="D93" s="5">
        <f t="shared" si="0"/>
        <v>5.8076608733047694E-2</v>
      </c>
    </row>
    <row r="94" spans="1:4" x14ac:dyDescent="0.2">
      <c r="A94" t="s">
        <v>589</v>
      </c>
      <c r="B94" s="7">
        <v>2007</v>
      </c>
      <c r="C94" s="3" t="s">
        <v>606</v>
      </c>
      <c r="D94" s="5">
        <f t="shared" si="0"/>
        <v>5.8468923119352215E-2</v>
      </c>
    </row>
    <row r="95" spans="1:4" x14ac:dyDescent="0.2">
      <c r="A95" t="s">
        <v>589</v>
      </c>
      <c r="B95" s="7">
        <v>2008</v>
      </c>
      <c r="C95" s="3" t="s">
        <v>606</v>
      </c>
      <c r="D95" s="5">
        <f t="shared" si="0"/>
        <v>7.8565864646320593E-2</v>
      </c>
    </row>
    <row r="96" spans="1:4" x14ac:dyDescent="0.2">
      <c r="A96" t="s">
        <v>589</v>
      </c>
      <c r="B96" s="7">
        <v>2009</v>
      </c>
      <c r="C96" s="3" t="s">
        <v>606</v>
      </c>
      <c r="D96" s="5">
        <f t="shared" si="0"/>
        <v>2.1165450194592664E-2</v>
      </c>
    </row>
    <row r="97" spans="1:4" x14ac:dyDescent="0.2">
      <c r="A97" t="s">
        <v>589</v>
      </c>
      <c r="B97" s="7">
        <v>2010</v>
      </c>
      <c r="C97" s="3" t="s">
        <v>606</v>
      </c>
      <c r="D97" s="5">
        <f t="shared" si="0"/>
        <v>4.2297849990792856E-2</v>
      </c>
    </row>
    <row r="98" spans="1:4" x14ac:dyDescent="0.2">
      <c r="A98" t="s">
        <v>589</v>
      </c>
      <c r="B98" s="7">
        <v>2011</v>
      </c>
      <c r="C98" s="3" t="s">
        <v>606</v>
      </c>
      <c r="D98" s="5">
        <f t="shared" si="0"/>
        <v>5.4198247373878419E-2</v>
      </c>
    </row>
    <row r="99" spans="1:4" x14ac:dyDescent="0.2">
      <c r="A99" t="s">
        <v>589</v>
      </c>
      <c r="B99" s="7">
        <v>2012</v>
      </c>
      <c r="C99" s="3" t="s">
        <v>606</v>
      </c>
      <c r="D99" s="5">
        <f t="shared" si="0"/>
        <v>3.6064342687494672E-2</v>
      </c>
    </row>
    <row r="100" spans="1:4" x14ac:dyDescent="0.2">
      <c r="A100" t="s">
        <v>589</v>
      </c>
      <c r="B100" s="7">
        <v>2013</v>
      </c>
      <c r="C100" s="3" t="s">
        <v>606</v>
      </c>
      <c r="D100" s="5">
        <f t="shared" si="0"/>
        <v>2.2607706092235419E-2</v>
      </c>
    </row>
    <row r="101" spans="1:4" x14ac:dyDescent="0.2">
      <c r="A101" t="s">
        <v>589</v>
      </c>
      <c r="B101" s="7">
        <v>2014</v>
      </c>
      <c r="C101" s="3" t="s">
        <v>606</v>
      </c>
      <c r="D101" s="5">
        <f t="shared" si="0"/>
        <v>2.031855177913627E-2</v>
      </c>
    </row>
    <row r="102" spans="1:4" x14ac:dyDescent="0.2">
      <c r="A102" t="s">
        <v>589</v>
      </c>
      <c r="B102" s="7">
        <v>2015</v>
      </c>
      <c r="C102" s="3" t="s">
        <v>606</v>
      </c>
      <c r="D102" s="5">
        <f t="shared" si="0"/>
        <v>2.2926347015487066E-2</v>
      </c>
    </row>
    <row r="103" spans="1:4" x14ac:dyDescent="0.2">
      <c r="A103" t="s">
        <v>589</v>
      </c>
      <c r="B103" s="7">
        <v>2016</v>
      </c>
      <c r="C103" s="3" t="s">
        <v>606</v>
      </c>
      <c r="D103" s="5">
        <f t="shared" si="0"/>
        <v>1.8952891356944404E-2</v>
      </c>
    </row>
    <row r="104" spans="1:4" x14ac:dyDescent="0.2">
      <c r="A104" t="s">
        <v>589</v>
      </c>
      <c r="B104" s="7">
        <v>2017</v>
      </c>
      <c r="C104" s="3" t="s">
        <v>606</v>
      </c>
      <c r="D104" s="5">
        <f t="shared" si="0"/>
        <v>2.9702970297029764E-2</v>
      </c>
    </row>
    <row r="105" spans="1:4" x14ac:dyDescent="0.2">
      <c r="A105" t="s">
        <v>589</v>
      </c>
      <c r="B105" s="7">
        <v>2018</v>
      </c>
      <c r="C105" s="3" t="s">
        <v>606</v>
      </c>
      <c r="D105" s="5">
        <f t="shared" si="0"/>
        <v>2.7896672091382656E-2</v>
      </c>
    </row>
    <row r="106" spans="1:4" x14ac:dyDescent="0.2">
      <c r="A106" t="s">
        <v>589</v>
      </c>
      <c r="B106" s="7">
        <v>2019</v>
      </c>
      <c r="C106" s="3" t="s">
        <v>606</v>
      </c>
      <c r="D106" s="5">
        <f t="shared" si="0"/>
        <v>2.3381426807823614E-2</v>
      </c>
    </row>
    <row r="107" spans="1:4" x14ac:dyDescent="0.2">
      <c r="A107" t="s">
        <v>589</v>
      </c>
      <c r="B107" s="7">
        <v>2020</v>
      </c>
      <c r="C107" s="3" t="s">
        <v>606</v>
      </c>
      <c r="D107" s="5">
        <f t="shared" si="0"/>
        <v>1.9014736130201298E-2</v>
      </c>
    </row>
    <row r="108" spans="1:4" x14ac:dyDescent="0.2">
      <c r="A108" t="s">
        <v>589</v>
      </c>
      <c r="B108" s="7">
        <v>2021</v>
      </c>
      <c r="C108" s="3" t="s">
        <v>606</v>
      </c>
      <c r="D108" s="5">
        <f t="shared" si="0"/>
        <v>4.6247133783945953E-2</v>
      </c>
    </row>
    <row r="109" spans="1:4" x14ac:dyDescent="0.2">
      <c r="A109" t="s">
        <v>589</v>
      </c>
      <c r="B109" s="7">
        <v>2022</v>
      </c>
      <c r="C109" s="3" t="s">
        <v>606</v>
      </c>
      <c r="D109" s="5">
        <f t="shared" si="0"/>
        <v>7.1552112070550816E-2</v>
      </c>
    </row>
    <row r="110" spans="1:4" x14ac:dyDescent="0.2">
      <c r="A110" t="s">
        <v>589</v>
      </c>
      <c r="B110" s="7">
        <v>2023</v>
      </c>
      <c r="C110" s="3" t="s">
        <v>606</v>
      </c>
      <c r="D110" s="5">
        <f t="shared" si="0"/>
        <v>5.2772546442724888E-2</v>
      </c>
    </row>
    <row r="111" spans="1:4" x14ac:dyDescent="0.2">
      <c r="A111" t="s">
        <v>589</v>
      </c>
      <c r="B111" s="7">
        <v>2024</v>
      </c>
      <c r="C111" s="3" t="s">
        <v>606</v>
      </c>
      <c r="D111" s="5">
        <f t="shared" si="0"/>
        <v>3.7620799566119703E-2</v>
      </c>
    </row>
    <row r="112" spans="1:4" x14ac:dyDescent="0.2">
      <c r="A112" t="s">
        <v>589</v>
      </c>
      <c r="B112" s="7">
        <v>1970</v>
      </c>
      <c r="C112" s="3" t="s">
        <v>605</v>
      </c>
      <c r="D112" s="6">
        <v>100</v>
      </c>
    </row>
    <row r="113" spans="1:4" x14ac:dyDescent="0.2">
      <c r="A113" t="s">
        <v>589</v>
      </c>
      <c r="B113" s="7">
        <v>1971</v>
      </c>
      <c r="C113" s="3" t="s">
        <v>605</v>
      </c>
      <c r="D113" s="6">
        <f>D112*(1+D57)</f>
        <v>104.72201400232821</v>
      </c>
    </row>
    <row r="114" spans="1:4" x14ac:dyDescent="0.2">
      <c r="A114" t="s">
        <v>589</v>
      </c>
      <c r="B114" s="7">
        <v>1972</v>
      </c>
      <c r="C114" s="3" t="s">
        <v>605</v>
      </c>
      <c r="D114" s="6">
        <f>D113*(1+D58)</f>
        <v>110.44447010359514</v>
      </c>
    </row>
    <row r="115" spans="1:4" x14ac:dyDescent="0.2">
      <c r="A115" t="s">
        <v>589</v>
      </c>
      <c r="B115" s="7">
        <v>1973</v>
      </c>
      <c r="C115" s="3" t="s">
        <v>605</v>
      </c>
      <c r="D115" s="6">
        <f t="shared" ref="D115:D166" si="1">D114*(1+D59)</f>
        <v>117.49981629293643</v>
      </c>
    </row>
    <row r="116" spans="1:4" x14ac:dyDescent="0.2">
      <c r="A116" t="s">
        <v>589</v>
      </c>
      <c r="B116" s="7">
        <v>1974</v>
      </c>
      <c r="C116" s="3" t="s">
        <v>605</v>
      </c>
      <c r="D116" s="6">
        <f t="shared" si="1"/>
        <v>131.42007482674555</v>
      </c>
    </row>
    <row r="117" spans="1:4" x14ac:dyDescent="0.2">
      <c r="A117" t="s">
        <v>589</v>
      </c>
      <c r="B117" s="7">
        <v>1975</v>
      </c>
      <c r="C117" s="3" t="s">
        <v>605</v>
      </c>
      <c r="D117" s="6">
        <f t="shared" si="1"/>
        <v>153.38609320914262</v>
      </c>
    </row>
    <row r="118" spans="1:4" x14ac:dyDescent="0.2">
      <c r="A118" t="s">
        <v>589</v>
      </c>
      <c r="B118" s="7">
        <v>1976</v>
      </c>
      <c r="C118" s="3" t="s">
        <v>605</v>
      </c>
      <c r="D118" s="6">
        <f t="shared" si="1"/>
        <v>169.46796609650016</v>
      </c>
    </row>
    <row r="119" spans="1:4" x14ac:dyDescent="0.2">
      <c r="A119" t="s">
        <v>589</v>
      </c>
      <c r="B119" s="7">
        <v>1977</v>
      </c>
      <c r="C119" s="3" t="s">
        <v>605</v>
      </c>
      <c r="D119" s="6">
        <f t="shared" si="1"/>
        <v>185.19717268427286</v>
      </c>
    </row>
    <row r="120" spans="1:4" x14ac:dyDescent="0.2">
      <c r="A120" t="s">
        <v>589</v>
      </c>
      <c r="B120" s="7">
        <v>1978</v>
      </c>
      <c r="C120" s="3" t="s">
        <v>605</v>
      </c>
      <c r="D120" s="6">
        <f t="shared" si="1"/>
        <v>203.14849317665644</v>
      </c>
    </row>
    <row r="121" spans="1:4" x14ac:dyDescent="0.2">
      <c r="A121" t="s">
        <v>589</v>
      </c>
      <c r="B121" s="7">
        <v>1979</v>
      </c>
      <c r="C121" s="3" t="s">
        <v>605</v>
      </c>
      <c r="D121" s="6">
        <f t="shared" si="1"/>
        <v>218.98960923474576</v>
      </c>
    </row>
    <row r="122" spans="1:4" x14ac:dyDescent="0.2">
      <c r="A122" t="s">
        <v>589</v>
      </c>
      <c r="B122" s="7">
        <v>1980</v>
      </c>
      <c r="C122" s="3" t="s">
        <v>605</v>
      </c>
      <c r="D122" s="6">
        <f t="shared" si="1"/>
        <v>244.20023446446251</v>
      </c>
    </row>
    <row r="123" spans="1:4" x14ac:dyDescent="0.2">
      <c r="A123" t="s">
        <v>589</v>
      </c>
      <c r="B123" s="7">
        <v>1981</v>
      </c>
      <c r="C123" s="3" t="s">
        <v>605</v>
      </c>
      <c r="D123" s="6">
        <f t="shared" si="1"/>
        <v>276.07702364414905</v>
      </c>
    </row>
    <row r="124" spans="1:4" x14ac:dyDescent="0.2">
      <c r="A124" t="s">
        <v>589</v>
      </c>
      <c r="B124" s="7">
        <v>1982</v>
      </c>
      <c r="C124" s="3" t="s">
        <v>605</v>
      </c>
      <c r="D124" s="6">
        <f t="shared" si="1"/>
        <v>304.10081452340893</v>
      </c>
    </row>
    <row r="125" spans="1:4" x14ac:dyDescent="0.2">
      <c r="A125" t="s">
        <v>589</v>
      </c>
      <c r="B125" s="7">
        <v>1983</v>
      </c>
      <c r="C125" s="3" t="s">
        <v>605</v>
      </c>
      <c r="D125" s="6">
        <f t="shared" si="1"/>
        <v>328.77277769242914</v>
      </c>
    </row>
    <row r="126" spans="1:4" x14ac:dyDescent="0.2">
      <c r="A126" t="s">
        <v>589</v>
      </c>
      <c r="B126" s="7">
        <v>1984</v>
      </c>
      <c r="C126" s="3" t="s">
        <v>605</v>
      </c>
      <c r="D126" s="6">
        <f t="shared" si="1"/>
        <v>354.17137030208613</v>
      </c>
    </row>
    <row r="127" spans="1:4" x14ac:dyDescent="0.2">
      <c r="A127" t="s">
        <v>589</v>
      </c>
      <c r="B127" s="7">
        <v>1985</v>
      </c>
      <c r="C127" s="3" t="s">
        <v>605</v>
      </c>
      <c r="D127" s="6">
        <f t="shared" si="1"/>
        <v>382.23319265287807</v>
      </c>
    </row>
    <row r="128" spans="1:4" x14ac:dyDescent="0.2">
      <c r="A128" t="s">
        <v>589</v>
      </c>
      <c r="B128" s="7">
        <v>1986</v>
      </c>
      <c r="C128" s="3" t="s">
        <v>605</v>
      </c>
      <c r="D128" s="6">
        <f t="shared" si="1"/>
        <v>403.35853373698723</v>
      </c>
    </row>
    <row r="129" spans="1:4" x14ac:dyDescent="0.2">
      <c r="A129" t="s">
        <v>589</v>
      </c>
      <c r="B129" s="7">
        <v>1987</v>
      </c>
      <c r="C129" s="3" t="s">
        <v>605</v>
      </c>
      <c r="D129" s="6">
        <f t="shared" si="1"/>
        <v>424.49216116393802</v>
      </c>
    </row>
    <row r="130" spans="1:4" x14ac:dyDescent="0.2">
      <c r="A130" t="s">
        <v>589</v>
      </c>
      <c r="B130" s="7">
        <v>1988</v>
      </c>
      <c r="C130" s="3" t="s">
        <v>605</v>
      </c>
      <c r="D130" s="6">
        <f t="shared" si="1"/>
        <v>454.95528294909502</v>
      </c>
    </row>
    <row r="131" spans="1:4" x14ac:dyDescent="0.2">
      <c r="A131" t="s">
        <v>589</v>
      </c>
      <c r="B131" s="7">
        <v>1989</v>
      </c>
      <c r="C131" s="3" t="s">
        <v>605</v>
      </c>
      <c r="D131" s="6">
        <f t="shared" si="1"/>
        <v>484.58841004532627</v>
      </c>
    </row>
    <row r="132" spans="1:4" x14ac:dyDescent="0.2">
      <c r="A132" t="s">
        <v>589</v>
      </c>
      <c r="B132" s="7">
        <v>1990</v>
      </c>
      <c r="C132" s="3" t="s">
        <v>605</v>
      </c>
      <c r="D132" s="6">
        <f t="shared" si="1"/>
        <v>519.22552398507935</v>
      </c>
    </row>
    <row r="133" spans="1:4" x14ac:dyDescent="0.2">
      <c r="A133" t="s">
        <v>589</v>
      </c>
      <c r="B133" s="7">
        <v>1991</v>
      </c>
      <c r="C133" s="3" t="s">
        <v>605</v>
      </c>
      <c r="D133" s="6">
        <f t="shared" si="1"/>
        <v>560.70047726010841</v>
      </c>
    </row>
    <row r="134" spans="1:4" x14ac:dyDescent="0.2">
      <c r="A134" t="s">
        <v>589</v>
      </c>
      <c r="B134" s="7">
        <v>1992</v>
      </c>
      <c r="C134" s="3" t="s">
        <v>605</v>
      </c>
      <c r="D134" s="6">
        <f t="shared" si="1"/>
        <v>609.28886832100704</v>
      </c>
    </row>
    <row r="135" spans="1:4" x14ac:dyDescent="0.2">
      <c r="A135" t="s">
        <v>589</v>
      </c>
      <c r="B135" s="7">
        <v>1993</v>
      </c>
      <c r="C135" s="3" t="s">
        <v>605</v>
      </c>
      <c r="D135" s="6">
        <f t="shared" si="1"/>
        <v>654.03545060258944</v>
      </c>
    </row>
    <row r="136" spans="1:4" x14ac:dyDescent="0.2">
      <c r="A136" t="s">
        <v>589</v>
      </c>
      <c r="B136" s="7">
        <v>1994</v>
      </c>
      <c r="C136" s="3" t="s">
        <v>605</v>
      </c>
      <c r="D136" s="6">
        <f t="shared" si="1"/>
        <v>706.91994307386824</v>
      </c>
    </row>
    <row r="137" spans="1:4" x14ac:dyDescent="0.2">
      <c r="A137" t="s">
        <v>589</v>
      </c>
      <c r="B137" s="7">
        <v>1995</v>
      </c>
      <c r="C137" s="3" t="s">
        <v>605</v>
      </c>
      <c r="D137" s="6">
        <f t="shared" si="1"/>
        <v>776.25576544078262</v>
      </c>
    </row>
    <row r="138" spans="1:4" x14ac:dyDescent="0.2">
      <c r="A138" t="s">
        <v>589</v>
      </c>
      <c r="B138" s="7">
        <v>1996</v>
      </c>
      <c r="C138" s="3" t="s">
        <v>605</v>
      </c>
      <c r="D138" s="6">
        <f t="shared" si="1"/>
        <v>843.60346397712078</v>
      </c>
    </row>
    <row r="139" spans="1:4" x14ac:dyDescent="0.2">
      <c r="A139" t="s">
        <v>589</v>
      </c>
      <c r="B139" s="7">
        <v>1997</v>
      </c>
      <c r="C139" s="3" t="s">
        <v>605</v>
      </c>
      <c r="D139" s="6">
        <f t="shared" si="1"/>
        <v>899.44696004480306</v>
      </c>
    </row>
    <row r="140" spans="1:4" x14ac:dyDescent="0.2">
      <c r="A140" t="s">
        <v>589</v>
      </c>
      <c r="B140" s="7">
        <v>1998</v>
      </c>
      <c r="C140" s="3" t="s">
        <v>605</v>
      </c>
      <c r="D140" s="6">
        <f t="shared" si="1"/>
        <v>939.53145148428962</v>
      </c>
    </row>
    <row r="141" spans="1:4" x14ac:dyDescent="0.2">
      <c r="A141" t="s">
        <v>589</v>
      </c>
      <c r="B141" s="7">
        <v>1999</v>
      </c>
      <c r="C141" s="3" t="s">
        <v>605</v>
      </c>
      <c r="D141" s="6">
        <f t="shared" si="1"/>
        <v>983.6139538529884</v>
      </c>
    </row>
    <row r="142" spans="1:4" x14ac:dyDescent="0.2">
      <c r="A142" t="s">
        <v>589</v>
      </c>
      <c r="B142" s="7">
        <v>2000</v>
      </c>
      <c r="C142" s="3" t="s">
        <v>605</v>
      </c>
      <c r="D142" s="6">
        <f t="shared" si="1"/>
        <v>1026.2997343613208</v>
      </c>
    </row>
    <row r="143" spans="1:4" x14ac:dyDescent="0.2">
      <c r="A143" t="s">
        <v>589</v>
      </c>
      <c r="B143" s="7">
        <v>2001</v>
      </c>
      <c r="C143" s="3" t="s">
        <v>605</v>
      </c>
      <c r="D143" s="6">
        <f t="shared" si="1"/>
        <v>1076.9661818698989</v>
      </c>
    </row>
    <row r="144" spans="1:4" x14ac:dyDescent="0.2">
      <c r="A144" t="s">
        <v>589</v>
      </c>
      <c r="B144" s="7">
        <v>2002</v>
      </c>
      <c r="C144" s="3" t="s">
        <v>605</v>
      </c>
      <c r="D144" s="6">
        <f t="shared" si="1"/>
        <v>1119.6307670644867</v>
      </c>
    </row>
    <row r="145" spans="1:4" x14ac:dyDescent="0.2">
      <c r="A145" t="s">
        <v>589</v>
      </c>
      <c r="B145" s="7">
        <v>2003</v>
      </c>
      <c r="C145" s="3" t="s">
        <v>605</v>
      </c>
      <c r="D145" s="6">
        <f t="shared" si="1"/>
        <v>1159.4248321896305</v>
      </c>
    </row>
    <row r="146" spans="1:4" x14ac:dyDescent="0.2">
      <c r="A146" t="s">
        <v>589</v>
      </c>
      <c r="B146" s="7">
        <v>2004</v>
      </c>
      <c r="C146" s="3" t="s">
        <v>605</v>
      </c>
      <c r="D146" s="6">
        <f t="shared" si="1"/>
        <v>1205.5068959734774</v>
      </c>
    </row>
    <row r="147" spans="1:4" x14ac:dyDescent="0.2">
      <c r="A147" t="s">
        <v>589</v>
      </c>
      <c r="B147" s="7">
        <v>2005</v>
      </c>
      <c r="C147" s="3" t="s">
        <v>605</v>
      </c>
      <c r="D147" s="6">
        <f t="shared" si="1"/>
        <v>1274.5271472591787</v>
      </c>
    </row>
    <row r="148" spans="1:4" x14ac:dyDescent="0.2">
      <c r="A148" t="s">
        <v>589</v>
      </c>
      <c r="B148" s="7">
        <v>2006</v>
      </c>
      <c r="C148" s="3" t="s">
        <v>605</v>
      </c>
      <c r="D148" s="6">
        <f t="shared" si="1"/>
        <v>1346.7728981405444</v>
      </c>
    </row>
    <row r="149" spans="1:4" x14ac:dyDescent="0.2">
      <c r="A149" t="s">
        <v>589</v>
      </c>
      <c r="B149" s="7">
        <v>2007</v>
      </c>
      <c r="C149" s="3" t="s">
        <v>605</v>
      </c>
      <c r="D149" s="6">
        <f t="shared" si="1"/>
        <v>1424.9889007981255</v>
      </c>
    </row>
    <row r="150" spans="1:4" x14ac:dyDescent="0.2">
      <c r="A150" t="s">
        <v>589</v>
      </c>
      <c r="B150" s="7">
        <v>2008</v>
      </c>
      <c r="C150" s="3" t="s">
        <v>605</v>
      </c>
      <c r="D150" s="6">
        <f t="shared" si="1"/>
        <v>1508.3064672848213</v>
      </c>
    </row>
    <row r="151" spans="1:4" x14ac:dyDescent="0.2">
      <c r="A151" t="s">
        <v>589</v>
      </c>
      <c r="B151" s="7">
        <v>2009</v>
      </c>
      <c r="C151" s="3" t="s">
        <v>605</v>
      </c>
      <c r="D151" s="6">
        <f t="shared" si="1"/>
        <v>1626.8078690386906</v>
      </c>
    </row>
    <row r="152" spans="1:4" x14ac:dyDescent="0.2">
      <c r="A152" t="s">
        <v>589</v>
      </c>
      <c r="B152" s="7">
        <v>2010</v>
      </c>
      <c r="C152" s="3" t="s">
        <v>605</v>
      </c>
      <c r="D152" s="6">
        <f t="shared" si="1"/>
        <v>1661.2399899670004</v>
      </c>
    </row>
    <row r="153" spans="1:4" x14ac:dyDescent="0.2">
      <c r="A153" t="s">
        <v>589</v>
      </c>
      <c r="B153" s="7">
        <v>2011</v>
      </c>
      <c r="C153" s="3" t="s">
        <v>605</v>
      </c>
      <c r="D153" s="6">
        <f t="shared" si="1"/>
        <v>1731.5068698613309</v>
      </c>
    </row>
    <row r="154" spans="1:4" x14ac:dyDescent="0.2">
      <c r="A154" t="s">
        <v>589</v>
      </c>
      <c r="B154" s="7">
        <v>2012</v>
      </c>
      <c r="C154" s="3" t="s">
        <v>605</v>
      </c>
      <c r="D154" s="6">
        <f t="shared" si="1"/>
        <v>1825.3515075236453</v>
      </c>
    </row>
    <row r="155" spans="1:4" x14ac:dyDescent="0.2">
      <c r="A155" t="s">
        <v>589</v>
      </c>
      <c r="B155" s="7">
        <v>2013</v>
      </c>
      <c r="C155" s="3" t="s">
        <v>605</v>
      </c>
      <c r="D155" s="6">
        <f t="shared" si="1"/>
        <v>1891.181609816113</v>
      </c>
    </row>
    <row r="156" spans="1:4" x14ac:dyDescent="0.2">
      <c r="A156" t="s">
        <v>589</v>
      </c>
      <c r="B156" s="7">
        <v>2014</v>
      </c>
      <c r="C156" s="3" t="s">
        <v>605</v>
      </c>
      <c r="D156" s="6">
        <f t="shared" si="1"/>
        <v>1933.9368878178764</v>
      </c>
    </row>
    <row r="157" spans="1:4" x14ac:dyDescent="0.2">
      <c r="A157" t="s">
        <v>589</v>
      </c>
      <c r="B157" s="7">
        <v>2015</v>
      </c>
      <c r="C157" s="3" t="s">
        <v>605</v>
      </c>
      <c r="D157" s="6">
        <f t="shared" si="1"/>
        <v>1973.2316846105855</v>
      </c>
    </row>
    <row r="158" spans="1:4" x14ac:dyDescent="0.2">
      <c r="A158" t="s">
        <v>589</v>
      </c>
      <c r="B158" s="7">
        <v>2016</v>
      </c>
      <c r="C158" s="3" t="s">
        <v>605</v>
      </c>
      <c r="D158" s="6">
        <f t="shared" si="1"/>
        <v>2018.4706789539218</v>
      </c>
    </row>
    <row r="159" spans="1:4" x14ac:dyDescent="0.2">
      <c r="A159" t="s">
        <v>589</v>
      </c>
      <c r="B159" s="7">
        <v>2017</v>
      </c>
      <c r="C159" s="3" t="s">
        <v>605</v>
      </c>
      <c r="D159" s="6">
        <f t="shared" si="1"/>
        <v>2056.7265344393131</v>
      </c>
    </row>
    <row r="160" spans="1:4" x14ac:dyDescent="0.2">
      <c r="A160" t="s">
        <v>589</v>
      </c>
      <c r="B160" s="7">
        <v>2018</v>
      </c>
      <c r="C160" s="3" t="s">
        <v>605</v>
      </c>
      <c r="D160" s="6">
        <f t="shared" si="1"/>
        <v>2117.817421600877</v>
      </c>
    </row>
    <row r="161" spans="1:4" x14ac:dyDescent="0.2">
      <c r="A161" t="s">
        <v>589</v>
      </c>
      <c r="B161" s="7">
        <v>2019</v>
      </c>
      <c r="C161" s="3" t="s">
        <v>605</v>
      </c>
      <c r="D161" s="6">
        <f t="shared" si="1"/>
        <v>2176.8974797606943</v>
      </c>
    </row>
    <row r="162" spans="1:4" x14ac:dyDescent="0.2">
      <c r="A162" t="s">
        <v>589</v>
      </c>
      <c r="B162" s="7">
        <v>2020</v>
      </c>
      <c r="C162" s="3" t="s">
        <v>605</v>
      </c>
      <c r="D162" s="6">
        <f t="shared" si="1"/>
        <v>2227.7964488518546</v>
      </c>
    </row>
    <row r="163" spans="1:4" x14ac:dyDescent="0.2">
      <c r="A163" t="s">
        <v>589</v>
      </c>
      <c r="B163" s="7">
        <v>2021</v>
      </c>
      <c r="C163" s="3" t="s">
        <v>605</v>
      </c>
      <c r="D163" s="6">
        <f t="shared" si="1"/>
        <v>2270.1574104785723</v>
      </c>
    </row>
    <row r="164" spans="1:4" x14ac:dyDescent="0.2">
      <c r="A164" t="s">
        <v>589</v>
      </c>
      <c r="B164" s="7">
        <v>2022</v>
      </c>
      <c r="C164" s="3" t="s">
        <v>605</v>
      </c>
      <c r="D164" s="6">
        <f t="shared" si="1"/>
        <v>2375.1456839515909</v>
      </c>
    </row>
    <row r="165" spans="1:4" x14ac:dyDescent="0.2">
      <c r="A165" t="s">
        <v>589</v>
      </c>
      <c r="B165" s="7">
        <v>2023</v>
      </c>
      <c r="C165" s="3" t="s">
        <v>605</v>
      </c>
      <c r="D165" s="6">
        <f t="shared" si="1"/>
        <v>2545.0923741135803</v>
      </c>
    </row>
    <row r="166" spans="1:4" x14ac:dyDescent="0.2">
      <c r="A166" t="s">
        <v>589</v>
      </c>
      <c r="B166" s="7">
        <v>2024</v>
      </c>
      <c r="C166" s="3" t="s">
        <v>605</v>
      </c>
      <c r="D166" s="6">
        <f t="shared" si="1"/>
        <v>2679.4033796275139</v>
      </c>
    </row>
    <row r="167" spans="1:4" x14ac:dyDescent="0.2">
      <c r="A167" t="s">
        <v>589</v>
      </c>
      <c r="B167" s="7">
        <v>1970</v>
      </c>
      <c r="C167" s="3" t="s">
        <v>613</v>
      </c>
      <c r="D167" s="2">
        <v>12.357585832741663</v>
      </c>
    </row>
    <row r="168" spans="1:4" x14ac:dyDescent="0.2">
      <c r="A168" t="s">
        <v>589</v>
      </c>
      <c r="B168" s="7">
        <v>1971</v>
      </c>
      <c r="C168" s="3" t="s">
        <v>613</v>
      </c>
      <c r="D168" s="2">
        <v>14.020855075980126</v>
      </c>
    </row>
    <row r="169" spans="1:4" x14ac:dyDescent="0.2">
      <c r="A169" t="s">
        <v>589</v>
      </c>
      <c r="B169" s="7">
        <v>1972</v>
      </c>
      <c r="C169" s="3" t="s">
        <v>613</v>
      </c>
      <c r="D169" s="2">
        <v>14.768702552929636</v>
      </c>
    </row>
    <row r="170" spans="1:4" x14ac:dyDescent="0.2">
      <c r="A170" t="s">
        <v>589</v>
      </c>
      <c r="B170" s="7">
        <v>1973</v>
      </c>
      <c r="C170" s="3" t="s">
        <v>613</v>
      </c>
      <c r="D170" s="2">
        <v>20.09749076138484</v>
      </c>
    </row>
    <row r="171" spans="1:4" x14ac:dyDescent="0.2">
      <c r="A171" t="s">
        <v>589</v>
      </c>
      <c r="B171" s="7">
        <v>1974</v>
      </c>
      <c r="C171" s="3" t="s">
        <v>613</v>
      </c>
      <c r="D171" s="2">
        <v>24.129828712275692</v>
      </c>
    </row>
    <row r="172" spans="1:4" x14ac:dyDescent="0.2">
      <c r="A172" t="s">
        <v>589</v>
      </c>
      <c r="B172" s="7">
        <v>1975</v>
      </c>
      <c r="C172" s="3" t="s">
        <v>613</v>
      </c>
      <c r="D172" s="2">
        <v>25.843473882758349</v>
      </c>
    </row>
    <row r="173" spans="1:4" x14ac:dyDescent="0.2">
      <c r="A173" t="s">
        <v>589</v>
      </c>
      <c r="B173" s="7">
        <v>1976</v>
      </c>
      <c r="C173" s="3" t="s">
        <v>613</v>
      </c>
      <c r="D173" s="2">
        <v>20.577011011399527</v>
      </c>
    </row>
    <row r="174" spans="1:4" x14ac:dyDescent="0.2">
      <c r="A174" t="s">
        <v>589</v>
      </c>
      <c r="B174" s="7">
        <v>1977</v>
      </c>
      <c r="C174" s="3" t="s">
        <v>613</v>
      </c>
      <c r="D174" s="2">
        <v>27.094427076544491</v>
      </c>
    </row>
    <row r="175" spans="1:4" x14ac:dyDescent="0.2">
      <c r="A175" t="s">
        <v>589</v>
      </c>
      <c r="B175" s="7">
        <v>1978</v>
      </c>
      <c r="C175" s="3" t="s">
        <v>613</v>
      </c>
      <c r="D175" s="2">
        <v>33.742874310553852</v>
      </c>
    </row>
    <row r="176" spans="1:4" x14ac:dyDescent="0.2">
      <c r="A176" t="s">
        <v>589</v>
      </c>
      <c r="B176" s="7">
        <v>1979</v>
      </c>
      <c r="C176" s="3" t="s">
        <v>613</v>
      </c>
      <c r="D176" s="2">
        <v>41.951228839756141</v>
      </c>
    </row>
    <row r="177" spans="1:4" x14ac:dyDescent="0.2">
      <c r="A177" t="s">
        <v>589</v>
      </c>
      <c r="B177" s="7">
        <v>1980</v>
      </c>
      <c r="C177" s="3" t="s">
        <v>613</v>
      </c>
      <c r="D177" s="2">
        <v>53.413886835971915</v>
      </c>
    </row>
    <row r="178" spans="1:4" x14ac:dyDescent="0.2">
      <c r="A178" t="s">
        <v>589</v>
      </c>
      <c r="B178" s="7">
        <v>1981</v>
      </c>
      <c r="C178" s="3" t="s">
        <v>613</v>
      </c>
      <c r="D178" s="2">
        <v>69.598655387668174</v>
      </c>
    </row>
    <row r="179" spans="1:4" x14ac:dyDescent="0.2">
      <c r="A179" t="s">
        <v>589</v>
      </c>
      <c r="B179" s="7">
        <v>1982</v>
      </c>
      <c r="C179" s="3" t="s">
        <v>613</v>
      </c>
      <c r="D179" s="2">
        <v>64.847077910456122</v>
      </c>
    </row>
    <row r="180" spans="1:4" x14ac:dyDescent="0.2">
      <c r="A180" t="s">
        <v>589</v>
      </c>
      <c r="B180" s="7">
        <v>1983</v>
      </c>
      <c r="C180" s="3" t="s">
        <v>613</v>
      </c>
      <c r="D180" s="2">
        <v>53.073373424564089</v>
      </c>
    </row>
    <row r="181" spans="1:4" x14ac:dyDescent="0.2">
      <c r="A181" t="s">
        <v>589</v>
      </c>
      <c r="B181" s="7">
        <v>1984</v>
      </c>
      <c r="C181" s="3" t="s">
        <v>613</v>
      </c>
      <c r="D181" s="2">
        <v>59.791128735993716</v>
      </c>
    </row>
    <row r="182" spans="1:4" x14ac:dyDescent="0.2">
      <c r="A182" t="s">
        <v>589</v>
      </c>
      <c r="B182" s="7">
        <v>1985</v>
      </c>
      <c r="C182" s="3" t="s">
        <v>613</v>
      </c>
      <c r="D182" s="2">
        <v>44.960850724530836</v>
      </c>
    </row>
    <row r="183" spans="1:4" x14ac:dyDescent="0.2">
      <c r="A183" t="s">
        <v>589</v>
      </c>
      <c r="B183" s="7">
        <v>1986</v>
      </c>
      <c r="C183" s="3" t="s">
        <v>613</v>
      </c>
      <c r="D183" s="2">
        <v>81.76878897408956</v>
      </c>
    </row>
    <row r="184" spans="1:4" x14ac:dyDescent="0.2">
      <c r="A184" t="s">
        <v>589</v>
      </c>
      <c r="B184" s="7">
        <v>1987</v>
      </c>
      <c r="C184" s="3" t="s">
        <v>613</v>
      </c>
      <c r="D184" s="2">
        <v>139.51909754610267</v>
      </c>
    </row>
    <row r="185" spans="1:4" x14ac:dyDescent="0.2">
      <c r="A185" t="s">
        <v>589</v>
      </c>
      <c r="B185" s="7">
        <v>1988</v>
      </c>
      <c r="C185" s="3" t="s">
        <v>613</v>
      </c>
      <c r="D185" s="2">
        <v>165.89548945904681</v>
      </c>
    </row>
    <row r="186" spans="1:4" x14ac:dyDescent="0.2">
      <c r="A186" t="s">
        <v>589</v>
      </c>
      <c r="B186" s="7">
        <v>1989</v>
      </c>
      <c r="C186" s="3" t="s">
        <v>613</v>
      </c>
      <c r="D186" s="2">
        <v>200.156890860696</v>
      </c>
    </row>
    <row r="187" spans="1:4" x14ac:dyDescent="0.2">
      <c r="A187" t="s">
        <v>589</v>
      </c>
      <c r="B187" s="7">
        <v>1990</v>
      </c>
      <c r="C187" s="3" t="s">
        <v>613</v>
      </c>
      <c r="D187" s="2">
        <v>239.40898931659362</v>
      </c>
    </row>
    <row r="188" spans="1:4" x14ac:dyDescent="0.2">
      <c r="A188" t="s">
        <v>589</v>
      </c>
      <c r="B188" s="7">
        <v>1991</v>
      </c>
      <c r="C188" s="3" t="s">
        <v>613</v>
      </c>
      <c r="D188" s="2">
        <v>174.93574396089019</v>
      </c>
    </row>
    <row r="189" spans="1:4" x14ac:dyDescent="0.2">
      <c r="A189" t="s">
        <v>589</v>
      </c>
      <c r="B189" s="7">
        <v>1992</v>
      </c>
      <c r="C189" s="3" t="s">
        <v>613</v>
      </c>
      <c r="D189" s="2">
        <v>186.25410923117306</v>
      </c>
    </row>
    <row r="190" spans="1:4" x14ac:dyDescent="0.2">
      <c r="A190" t="s">
        <v>589</v>
      </c>
      <c r="B190" s="7">
        <v>1993</v>
      </c>
      <c r="C190" s="3" t="s">
        <v>613</v>
      </c>
      <c r="D190" s="2">
        <v>233.71968512569518</v>
      </c>
    </row>
    <row r="191" spans="1:4" x14ac:dyDescent="0.2">
      <c r="A191" t="s">
        <v>589</v>
      </c>
      <c r="B191" s="7">
        <v>1994</v>
      </c>
      <c r="C191" s="3" t="s">
        <v>613</v>
      </c>
      <c r="D191" s="2">
        <v>278.76448396491202</v>
      </c>
    </row>
    <row r="192" spans="1:4" x14ac:dyDescent="0.2">
      <c r="A192" t="s">
        <v>589</v>
      </c>
      <c r="B192" s="7">
        <v>1995</v>
      </c>
      <c r="C192" s="3" t="s">
        <v>613</v>
      </c>
      <c r="D192" s="2">
        <v>361.95425096274414</v>
      </c>
    </row>
    <row r="193" spans="1:4" x14ac:dyDescent="0.2">
      <c r="A193" t="s">
        <v>589</v>
      </c>
      <c r="B193" s="7">
        <v>1996</v>
      </c>
      <c r="C193" s="3" t="s">
        <v>613</v>
      </c>
      <c r="D193" s="2">
        <v>417.89266456598091</v>
      </c>
    </row>
    <row r="194" spans="1:4" x14ac:dyDescent="0.2">
      <c r="A194" t="s">
        <v>589</v>
      </c>
      <c r="B194" s="7">
        <v>1997</v>
      </c>
      <c r="C194" s="3" t="s">
        <v>613</v>
      </c>
      <c r="D194" s="2">
        <v>534.15260452988616</v>
      </c>
    </row>
    <row r="195" spans="1:4" x14ac:dyDescent="0.2">
      <c r="A195" t="s">
        <v>589</v>
      </c>
      <c r="B195" s="7">
        <v>1998</v>
      </c>
      <c r="C195" s="3" t="s">
        <v>613</v>
      </c>
      <c r="D195" s="2">
        <v>795.5970033236265</v>
      </c>
    </row>
    <row r="196" spans="1:4" x14ac:dyDescent="0.2">
      <c r="A196" t="s">
        <v>589</v>
      </c>
      <c r="B196" s="7">
        <v>1999</v>
      </c>
      <c r="C196" s="3" t="s">
        <v>613</v>
      </c>
      <c r="D196" s="2">
        <v>1203.6762313722152</v>
      </c>
    </row>
    <row r="197" spans="1:4" x14ac:dyDescent="0.2">
      <c r="A197" t="s">
        <v>589</v>
      </c>
      <c r="B197" s="7">
        <v>2000</v>
      </c>
      <c r="C197" s="3" t="s">
        <v>613</v>
      </c>
      <c r="D197" s="2">
        <v>1569.4502753444744</v>
      </c>
    </row>
    <row r="198" spans="1:4" x14ac:dyDescent="0.2">
      <c r="A198" t="s">
        <v>589</v>
      </c>
      <c r="B198" s="7">
        <v>2001</v>
      </c>
      <c r="C198" s="3" t="s">
        <v>613</v>
      </c>
      <c r="D198" s="2">
        <v>895.7407520435446</v>
      </c>
    </row>
    <row r="199" spans="1:4" x14ac:dyDescent="0.2">
      <c r="A199" t="s">
        <v>589</v>
      </c>
      <c r="B199" s="7">
        <v>2002</v>
      </c>
      <c r="C199" s="3" t="s">
        <v>613</v>
      </c>
      <c r="D199" s="2">
        <v>751.72492004318735</v>
      </c>
    </row>
    <row r="200" spans="1:4" x14ac:dyDescent="0.2">
      <c r="A200" t="s">
        <v>589</v>
      </c>
      <c r="B200" s="7">
        <v>2003</v>
      </c>
      <c r="C200" s="3" t="s">
        <v>613</v>
      </c>
      <c r="D200" s="2">
        <v>736.86360878716891</v>
      </c>
    </row>
    <row r="201" spans="1:4" x14ac:dyDescent="0.2">
      <c r="A201" t="s">
        <v>589</v>
      </c>
      <c r="B201" s="7">
        <v>2004</v>
      </c>
      <c r="C201" s="3" t="s">
        <v>613</v>
      </c>
      <c r="D201" s="2">
        <v>1009.2681686511053</v>
      </c>
    </row>
    <row r="202" spans="1:4" x14ac:dyDescent="0.2">
      <c r="A202" t="s">
        <v>589</v>
      </c>
      <c r="B202" s="7">
        <v>2005</v>
      </c>
      <c r="C202" s="3" t="s">
        <v>613</v>
      </c>
      <c r="D202" s="2">
        <v>1554.656995349611</v>
      </c>
    </row>
    <row r="203" spans="1:4" x14ac:dyDescent="0.2">
      <c r="A203" t="s">
        <v>589</v>
      </c>
      <c r="B203" s="7">
        <v>2006</v>
      </c>
      <c r="C203" s="3" t="s">
        <v>613</v>
      </c>
      <c r="D203" s="2">
        <v>2191.6247956370476</v>
      </c>
    </row>
    <row r="204" spans="1:4" x14ac:dyDescent="0.2">
      <c r="A204" t="s">
        <v>589</v>
      </c>
      <c r="B204" s="7">
        <v>2007</v>
      </c>
      <c r="C204" s="3" t="s">
        <v>613</v>
      </c>
      <c r="D204" s="2">
        <v>3114.6062279012654</v>
      </c>
    </row>
    <row r="205" spans="1:4" x14ac:dyDescent="0.2">
      <c r="A205" t="s">
        <v>589</v>
      </c>
      <c r="B205" s="7">
        <v>2008</v>
      </c>
      <c r="C205" s="3" t="s">
        <v>613</v>
      </c>
      <c r="D205" s="2">
        <v>2438.6614044850794</v>
      </c>
    </row>
    <row r="206" spans="1:4" x14ac:dyDescent="0.2">
      <c r="A206" t="s">
        <v>589</v>
      </c>
      <c r="B206" s="7">
        <v>2009</v>
      </c>
      <c r="C206" s="3" t="s">
        <v>613</v>
      </c>
      <c r="D206" s="2">
        <v>1516.8979465388156</v>
      </c>
    </row>
    <row r="207" spans="1:4" x14ac:dyDescent="0.2">
      <c r="A207" t="s">
        <v>589</v>
      </c>
      <c r="B207" s="7">
        <v>2010</v>
      </c>
      <c r="C207" s="3" t="s">
        <v>613</v>
      </c>
      <c r="D207" s="2">
        <v>1843.4490811220946</v>
      </c>
    </row>
    <row r="208" spans="1:4" x14ac:dyDescent="0.2">
      <c r="A208" t="s">
        <v>589</v>
      </c>
      <c r="B208" s="7">
        <v>2011</v>
      </c>
      <c r="C208" s="3" t="s">
        <v>613</v>
      </c>
      <c r="D208" s="2">
        <v>2388.3930164315934</v>
      </c>
    </row>
    <row r="209" spans="1:4" x14ac:dyDescent="0.2">
      <c r="A209" t="s">
        <v>589</v>
      </c>
      <c r="B209" s="7">
        <v>2012</v>
      </c>
      <c r="C209" s="3" t="s">
        <v>613</v>
      </c>
      <c r="D209" s="2">
        <v>2070.356643487235</v>
      </c>
    </row>
    <row r="210" spans="1:4" x14ac:dyDescent="0.2">
      <c r="A210" t="s">
        <v>589</v>
      </c>
      <c r="B210" s="7">
        <v>2013</v>
      </c>
      <c r="C210" s="3" t="s">
        <v>613</v>
      </c>
      <c r="D210" s="2">
        <v>2167.0813502037236</v>
      </c>
    </row>
    <row r="211" spans="1:4" x14ac:dyDescent="0.2">
      <c r="A211" t="s">
        <v>589</v>
      </c>
      <c r="B211" s="7">
        <v>2014</v>
      </c>
      <c r="C211" s="3" t="s">
        <v>613</v>
      </c>
      <c r="D211" s="2">
        <v>1966.4667277371727</v>
      </c>
    </row>
    <row r="212" spans="1:4" x14ac:dyDescent="0.2">
      <c r="A212" t="s">
        <v>589</v>
      </c>
      <c r="B212" s="7">
        <v>2015</v>
      </c>
      <c r="C212" s="3" t="s">
        <v>613</v>
      </c>
      <c r="D212" s="2">
        <v>2791.8477190874901</v>
      </c>
    </row>
    <row r="213" spans="1:4" x14ac:dyDescent="0.2">
      <c r="A213" t="s">
        <v>589</v>
      </c>
      <c r="B213" s="7">
        <v>2016</v>
      </c>
      <c r="C213" s="3" t="s">
        <v>613</v>
      </c>
      <c r="D213" s="2">
        <v>2748.2537548254409</v>
      </c>
    </row>
    <row r="214" spans="1:4" x14ac:dyDescent="0.2">
      <c r="A214" t="s">
        <v>589</v>
      </c>
      <c r="B214" s="7">
        <v>2017</v>
      </c>
      <c r="C214" s="3" t="s">
        <v>613</v>
      </c>
      <c r="D214" s="2">
        <v>2256.8144782999848</v>
      </c>
    </row>
    <row r="215" spans="1:4" x14ac:dyDescent="0.2">
      <c r="A215" t="s">
        <v>589</v>
      </c>
      <c r="B215" s="7">
        <v>2018</v>
      </c>
      <c r="C215" s="3" t="s">
        <v>613</v>
      </c>
      <c r="D215" s="2">
        <v>1106.4830833761459</v>
      </c>
    </row>
    <row r="216" spans="1:4" x14ac:dyDescent="0.2">
      <c r="A216" t="s">
        <v>589</v>
      </c>
      <c r="B216" s="7">
        <v>2019</v>
      </c>
      <c r="C216" s="3" t="s">
        <v>613</v>
      </c>
      <c r="D216" s="2">
        <v>1941.7633063563983</v>
      </c>
    </row>
    <row r="217" spans="1:4" x14ac:dyDescent="0.2">
      <c r="A217" t="s">
        <v>589</v>
      </c>
      <c r="B217" s="7">
        <v>2020</v>
      </c>
      <c r="C217" s="3" t="s">
        <v>613</v>
      </c>
      <c r="D217" s="2">
        <v>1186.5767030265683</v>
      </c>
    </row>
    <row r="218" spans="1:4" x14ac:dyDescent="0.2">
      <c r="A218" t="s">
        <v>589</v>
      </c>
      <c r="B218" s="7">
        <v>2021</v>
      </c>
      <c r="C218" s="3" t="s">
        <v>613</v>
      </c>
      <c r="D218" s="2">
        <v>2423.7700767170677</v>
      </c>
    </row>
    <row r="219" spans="1:4" x14ac:dyDescent="0.2">
      <c r="A219" t="s">
        <v>589</v>
      </c>
      <c r="B219" s="7">
        <v>2022</v>
      </c>
      <c r="C219" s="3" t="s">
        <v>613</v>
      </c>
      <c r="D219" s="2">
        <v>1889.1449387523712</v>
      </c>
    </row>
    <row r="220" spans="1:4" x14ac:dyDescent="0.2">
      <c r="A220" t="s">
        <v>589</v>
      </c>
      <c r="B220" s="7">
        <v>2023</v>
      </c>
      <c r="C220" s="3" t="s">
        <v>613</v>
      </c>
      <c r="D220" s="2">
        <v>973.55671028735333</v>
      </c>
    </row>
    <row r="221" spans="1:4" x14ac:dyDescent="0.2">
      <c r="A221" t="s">
        <v>589</v>
      </c>
      <c r="B221" s="7">
        <v>2024</v>
      </c>
      <c r="C221" s="3" t="s">
        <v>613</v>
      </c>
      <c r="D221" s="2">
        <v>1563.741062287221</v>
      </c>
    </row>
    <row r="222" spans="1:4" x14ac:dyDescent="0.2">
      <c r="A222" t="s">
        <v>589</v>
      </c>
      <c r="B222" s="7">
        <v>1970</v>
      </c>
      <c r="C222" s="3" t="s">
        <v>614</v>
      </c>
      <c r="D222" s="6">
        <v>12.357585832741663</v>
      </c>
    </row>
    <row r="223" spans="1:4" x14ac:dyDescent="0.2">
      <c r="A223" t="s">
        <v>589</v>
      </c>
      <c r="B223" s="7">
        <v>1971</v>
      </c>
      <c r="C223" s="3" t="s">
        <v>614</v>
      </c>
      <c r="D223" s="6">
        <v>14.682921815914053</v>
      </c>
    </row>
    <row r="224" spans="1:4" x14ac:dyDescent="0.2">
      <c r="A224" t="s">
        <v>589</v>
      </c>
      <c r="B224" s="7">
        <v>1972</v>
      </c>
      <c r="C224" s="3" t="s">
        <v>614</v>
      </c>
      <c r="D224" s="6">
        <v>16.31121527575926</v>
      </c>
    </row>
    <row r="225" spans="1:4" x14ac:dyDescent="0.2">
      <c r="A225" t="s">
        <v>589</v>
      </c>
      <c r="B225" s="7">
        <v>1973</v>
      </c>
      <c r="C225" s="3" t="s">
        <v>614</v>
      </c>
      <c r="D225" s="6">
        <v>23.614514724117058</v>
      </c>
    </row>
    <row r="226" spans="1:4" x14ac:dyDescent="0.2">
      <c r="A226" t="s">
        <v>589</v>
      </c>
      <c r="B226" s="7">
        <v>1974</v>
      </c>
      <c r="C226" s="3" t="s">
        <v>614</v>
      </c>
      <c r="D226" s="6">
        <v>31.711438949238246</v>
      </c>
    </row>
    <row r="227" spans="1:4" x14ac:dyDescent="0.2">
      <c r="A227" t="s">
        <v>589</v>
      </c>
      <c r="B227" s="7">
        <v>1975</v>
      </c>
      <c r="C227" s="3" t="s">
        <v>614</v>
      </c>
      <c r="D227" s="6">
        <v>39.64029493828815</v>
      </c>
    </row>
    <row r="228" spans="1:4" x14ac:dyDescent="0.2">
      <c r="A228" t="s">
        <v>589</v>
      </c>
      <c r="B228" s="7">
        <v>1976</v>
      </c>
      <c r="C228" s="3" t="s">
        <v>614</v>
      </c>
      <c r="D228" s="6">
        <v>34.871442044471657</v>
      </c>
    </row>
    <row r="229" spans="1:4" x14ac:dyDescent="0.2">
      <c r="A229" t="s">
        <v>589</v>
      </c>
      <c r="B229" s="7">
        <v>1977</v>
      </c>
      <c r="C229" s="3" t="s">
        <v>614</v>
      </c>
      <c r="D229" s="6">
        <v>50.178112900762486</v>
      </c>
    </row>
    <row r="230" spans="1:4" x14ac:dyDescent="0.2">
      <c r="A230" t="s">
        <v>589</v>
      </c>
      <c r="B230" s="7">
        <v>1978</v>
      </c>
      <c r="C230" s="3" t="s">
        <v>614</v>
      </c>
      <c r="D230" s="6">
        <v>68.548140716383259</v>
      </c>
    </row>
    <row r="231" spans="1:4" x14ac:dyDescent="0.2">
      <c r="A231" t="s">
        <v>589</v>
      </c>
      <c r="B231" s="7">
        <v>1979</v>
      </c>
      <c r="C231" s="3" t="s">
        <v>614</v>
      </c>
      <c r="D231" s="6">
        <v>91.868832105355949</v>
      </c>
    </row>
    <row r="232" spans="1:4" x14ac:dyDescent="0.2">
      <c r="A232" t="s">
        <v>589</v>
      </c>
      <c r="B232" s="7">
        <v>1980</v>
      </c>
      <c r="C232" s="3" t="s">
        <v>614</v>
      </c>
      <c r="D232" s="6">
        <v>130.43683689002609</v>
      </c>
    </row>
    <row r="233" spans="1:4" x14ac:dyDescent="0.2">
      <c r="A233" t="s">
        <v>589</v>
      </c>
      <c r="B233" s="7">
        <v>1981</v>
      </c>
      <c r="C233" s="3" t="s">
        <v>614</v>
      </c>
      <c r="D233" s="6">
        <v>192.14589629062249</v>
      </c>
    </row>
    <row r="234" spans="1:4" x14ac:dyDescent="0.2">
      <c r="A234" t="s">
        <v>589</v>
      </c>
      <c r="B234" s="7">
        <v>1982</v>
      </c>
      <c r="C234" s="3" t="s">
        <v>614</v>
      </c>
      <c r="D234" s="6">
        <v>197.20049212032666</v>
      </c>
    </row>
    <row r="235" spans="1:4" x14ac:dyDescent="0.2">
      <c r="A235" t="s">
        <v>589</v>
      </c>
      <c r="B235" s="7">
        <v>1983</v>
      </c>
      <c r="C235" s="3" t="s">
        <v>614</v>
      </c>
      <c r="D235" s="6">
        <v>174.49080402301485</v>
      </c>
    </row>
    <row r="236" spans="1:4" x14ac:dyDescent="0.2">
      <c r="A236" t="s">
        <v>589</v>
      </c>
      <c r="B236" s="7">
        <v>1984</v>
      </c>
      <c r="C236" s="3" t="s">
        <v>614</v>
      </c>
      <c r="D236" s="6">
        <v>211.76305996335333</v>
      </c>
    </row>
    <row r="237" spans="1:4" x14ac:dyDescent="0.2">
      <c r="A237" t="s">
        <v>589</v>
      </c>
      <c r="B237" s="7">
        <v>1985</v>
      </c>
      <c r="C237" s="3" t="s">
        <v>614</v>
      </c>
      <c r="D237" s="6">
        <v>171.85529516826887</v>
      </c>
    </row>
    <row r="238" spans="1:4" x14ac:dyDescent="0.2">
      <c r="A238" t="s">
        <v>589</v>
      </c>
      <c r="B238" s="7">
        <v>1986</v>
      </c>
      <c r="C238" s="3" t="s">
        <v>614</v>
      </c>
      <c r="D238" s="6">
        <v>329.82138826037891</v>
      </c>
    </row>
    <row r="239" spans="1:4" x14ac:dyDescent="0.2">
      <c r="A239" t="s">
        <v>589</v>
      </c>
      <c r="B239" s="7">
        <v>1987</v>
      </c>
      <c r="C239" s="3" t="s">
        <v>614</v>
      </c>
      <c r="D239" s="6">
        <v>592.24763240987409</v>
      </c>
    </row>
    <row r="240" spans="1:4" x14ac:dyDescent="0.2">
      <c r="A240" t="s">
        <v>589</v>
      </c>
      <c r="B240" s="7">
        <v>1988</v>
      </c>
      <c r="C240" s="3" t="s">
        <v>614</v>
      </c>
      <c r="D240" s="6">
        <v>754.75029346819247</v>
      </c>
    </row>
    <row r="241" spans="1:4" x14ac:dyDescent="0.2">
      <c r="A241" t="s">
        <v>589</v>
      </c>
      <c r="B241" s="7">
        <v>1989</v>
      </c>
      <c r="C241" s="3" t="s">
        <v>614</v>
      </c>
      <c r="D241" s="6">
        <v>969.93709501800572</v>
      </c>
    </row>
    <row r="242" spans="1:4" x14ac:dyDescent="0.2">
      <c r="A242" t="s">
        <v>589</v>
      </c>
      <c r="B242" s="7">
        <v>1990</v>
      </c>
      <c r="C242" s="3" t="s">
        <v>614</v>
      </c>
      <c r="D242" s="6">
        <v>1243.0725792464661</v>
      </c>
    </row>
    <row r="243" spans="1:4" x14ac:dyDescent="0.2">
      <c r="A243" t="s">
        <v>589</v>
      </c>
      <c r="B243" s="7">
        <v>1991</v>
      </c>
      <c r="C243" s="3" t="s">
        <v>614</v>
      </c>
      <c r="D243" s="6">
        <v>980.86555128723262</v>
      </c>
    </row>
    <row r="244" spans="1:4" x14ac:dyDescent="0.2">
      <c r="A244" t="s">
        <v>589</v>
      </c>
      <c r="B244" s="7">
        <v>1992</v>
      </c>
      <c r="C244" s="3" t="s">
        <v>614</v>
      </c>
      <c r="D244" s="6">
        <v>1134.8255543359865</v>
      </c>
    </row>
    <row r="245" spans="1:4" x14ac:dyDescent="0.2">
      <c r="A245" t="s">
        <v>589</v>
      </c>
      <c r="B245" s="7">
        <v>1993</v>
      </c>
      <c r="C245" s="3" t="s">
        <v>614</v>
      </c>
      <c r="D245" s="6">
        <v>1528.6095957587938</v>
      </c>
    </row>
    <row r="246" spans="1:4" x14ac:dyDescent="0.2">
      <c r="A246" t="s">
        <v>589</v>
      </c>
      <c r="B246" s="7">
        <v>1994</v>
      </c>
      <c r="C246" s="3" t="s">
        <v>614</v>
      </c>
      <c r="D246" s="6">
        <v>1970.6417313549186</v>
      </c>
    </row>
    <row r="247" spans="1:4" x14ac:dyDescent="0.2">
      <c r="A247" t="s">
        <v>589</v>
      </c>
      <c r="B247" s="7">
        <v>1995</v>
      </c>
      <c r="C247" s="3" t="s">
        <v>614</v>
      </c>
      <c r="D247" s="6">
        <v>2809.6907413563008</v>
      </c>
    </row>
    <row r="248" spans="1:4" x14ac:dyDescent="0.2">
      <c r="A248" t="s">
        <v>589</v>
      </c>
      <c r="B248" s="7">
        <v>1996</v>
      </c>
      <c r="C248" s="3" t="s">
        <v>614</v>
      </c>
      <c r="D248" s="6">
        <v>3525.3569939849049</v>
      </c>
    </row>
    <row r="249" spans="1:4" x14ac:dyDescent="0.2">
      <c r="A249" t="s">
        <v>589</v>
      </c>
      <c r="B249" s="7">
        <v>1997</v>
      </c>
      <c r="C249" s="3" t="s">
        <v>614</v>
      </c>
      <c r="D249" s="6">
        <v>4804.4193634442008</v>
      </c>
    </row>
    <row r="250" spans="1:4" x14ac:dyDescent="0.2">
      <c r="A250" t="s">
        <v>589</v>
      </c>
      <c r="B250" s="7">
        <v>1998</v>
      </c>
      <c r="C250" s="3" t="s">
        <v>614</v>
      </c>
      <c r="D250" s="6">
        <v>7474.8840732919798</v>
      </c>
    </row>
    <row r="251" spans="1:4" x14ac:dyDescent="0.2">
      <c r="A251" t="s">
        <v>589</v>
      </c>
      <c r="B251" s="7">
        <v>1999</v>
      </c>
      <c r="C251" s="3" t="s">
        <v>614</v>
      </c>
      <c r="D251" s="6">
        <v>11839.52737098889</v>
      </c>
    </row>
    <row r="252" spans="1:4" x14ac:dyDescent="0.2">
      <c r="A252" t="s">
        <v>589</v>
      </c>
      <c r="B252" s="7">
        <v>2000</v>
      </c>
      <c r="C252" s="3" t="s">
        <v>614</v>
      </c>
      <c r="D252" s="6">
        <v>16107.264006793359</v>
      </c>
    </row>
    <row r="253" spans="1:4" x14ac:dyDescent="0.2">
      <c r="A253" t="s">
        <v>589</v>
      </c>
      <c r="B253" s="7">
        <v>2001</v>
      </c>
      <c r="C253" s="3" t="s">
        <v>614</v>
      </c>
      <c r="D253" s="6">
        <v>9646.8249767360794</v>
      </c>
    </row>
    <row r="254" spans="1:4" x14ac:dyDescent="0.2">
      <c r="A254" t="s">
        <v>589</v>
      </c>
      <c r="B254" s="7">
        <v>2002</v>
      </c>
      <c r="C254" s="3" t="s">
        <v>614</v>
      </c>
      <c r="D254" s="6">
        <v>8416.543488494437</v>
      </c>
    </row>
    <row r="255" spans="1:4" x14ac:dyDescent="0.2">
      <c r="A255" t="s">
        <v>589</v>
      </c>
      <c r="B255" s="7">
        <v>2003</v>
      </c>
      <c r="C255" s="3" t="s">
        <v>614</v>
      </c>
      <c r="D255" s="6">
        <v>8543.3796596470893</v>
      </c>
    </row>
    <row r="256" spans="1:4" x14ac:dyDescent="0.2">
      <c r="A256" t="s">
        <v>589</v>
      </c>
      <c r="B256" s="7">
        <v>2004</v>
      </c>
      <c r="C256" s="3" t="s">
        <v>614</v>
      </c>
      <c r="D256" s="6">
        <v>12166.797371954299</v>
      </c>
    </row>
    <row r="257" spans="1:4" x14ac:dyDescent="0.2">
      <c r="A257" t="s">
        <v>589</v>
      </c>
      <c r="B257" s="7">
        <v>2005</v>
      </c>
      <c r="C257" s="3" t="s">
        <v>614</v>
      </c>
      <c r="D257" s="6">
        <v>19814.525452494658</v>
      </c>
    </row>
    <row r="258" spans="1:4" x14ac:dyDescent="0.2">
      <c r="A258" t="s">
        <v>589</v>
      </c>
      <c r="B258" s="7">
        <v>2006</v>
      </c>
      <c r="C258" s="3" t="s">
        <v>614</v>
      </c>
      <c r="D258" s="6">
        <v>29516.208776567848</v>
      </c>
    </row>
    <row r="259" spans="1:4" x14ac:dyDescent="0.2">
      <c r="A259" t="s">
        <v>589</v>
      </c>
      <c r="B259" s="7">
        <v>2007</v>
      </c>
      <c r="C259" s="3" t="s">
        <v>614</v>
      </c>
      <c r="D259" s="6">
        <v>44382.79305116021</v>
      </c>
    </row>
    <row r="260" spans="1:4" x14ac:dyDescent="0.2">
      <c r="A260" t="s">
        <v>589</v>
      </c>
      <c r="B260" s="7">
        <v>2008</v>
      </c>
      <c r="C260" s="3" t="s">
        <v>614</v>
      </c>
      <c r="D260" s="6">
        <v>36782.487679027312</v>
      </c>
    </row>
    <row r="261" spans="1:4" x14ac:dyDescent="0.2">
      <c r="A261" t="s">
        <v>589</v>
      </c>
      <c r="B261" s="7">
        <v>2009</v>
      </c>
      <c r="C261" s="3" t="s">
        <v>614</v>
      </c>
      <c r="D261" s="6">
        <v>24677.015159579762</v>
      </c>
    </row>
    <row r="262" spans="1:4" x14ac:dyDescent="0.2">
      <c r="A262" t="s">
        <v>589</v>
      </c>
      <c r="B262" s="7">
        <v>2010</v>
      </c>
      <c r="C262" s="3" t="s">
        <v>614</v>
      </c>
      <c r="D262" s="6">
        <v>30624.113330279441</v>
      </c>
    </row>
    <row r="263" spans="1:4" x14ac:dyDescent="0.2">
      <c r="A263" t="s">
        <v>589</v>
      </c>
      <c r="B263" s="7">
        <v>2011</v>
      </c>
      <c r="C263" s="3" t="s">
        <v>614</v>
      </c>
      <c r="D263" s="6">
        <v>41355.189158801302</v>
      </c>
    </row>
    <row r="264" spans="1:4" x14ac:dyDescent="0.2">
      <c r="A264" t="s">
        <v>589</v>
      </c>
      <c r="B264" s="7">
        <v>2012</v>
      </c>
      <c r="C264" s="3" t="s">
        <v>614</v>
      </c>
      <c r="D264" s="6">
        <v>37791.28620301019</v>
      </c>
    </row>
    <row r="265" spans="1:4" x14ac:dyDescent="0.2">
      <c r="A265" t="s">
        <v>589</v>
      </c>
      <c r="B265" s="7">
        <v>2013</v>
      </c>
      <c r="C265" s="3" t="s">
        <v>614</v>
      </c>
      <c r="D265" s="6">
        <v>40983.443964807535</v>
      </c>
    </row>
    <row r="266" spans="1:4" x14ac:dyDescent="0.2">
      <c r="A266" t="s">
        <v>589</v>
      </c>
      <c r="B266" s="7">
        <v>2014</v>
      </c>
      <c r="C266" s="3" t="s">
        <v>614</v>
      </c>
      <c r="D266" s="6">
        <v>38030.225434374312</v>
      </c>
    </row>
    <row r="267" spans="1:4" x14ac:dyDescent="0.2">
      <c r="A267" t="s">
        <v>589</v>
      </c>
      <c r="B267" s="7">
        <v>2015</v>
      </c>
      <c r="C267" s="3" t="s">
        <v>614</v>
      </c>
      <c r="D267" s="6">
        <v>55089.623779112284</v>
      </c>
    </row>
    <row r="268" spans="1:4" x14ac:dyDescent="0.2">
      <c r="A268" t="s">
        <v>589</v>
      </c>
      <c r="B268" s="7">
        <v>2016</v>
      </c>
      <c r="C268" s="3" t="s">
        <v>614</v>
      </c>
      <c r="D268" s="6">
        <v>55472.696224401727</v>
      </c>
    </row>
    <row r="269" spans="1:4" x14ac:dyDescent="0.2">
      <c r="A269" t="s">
        <v>589</v>
      </c>
      <c r="B269" s="7">
        <v>2017</v>
      </c>
      <c r="C269" s="3" t="s">
        <v>614</v>
      </c>
      <c r="D269" s="6">
        <v>46416.502208263941</v>
      </c>
    </row>
    <row r="270" spans="1:4" x14ac:dyDescent="0.2">
      <c r="A270" t="s">
        <v>589</v>
      </c>
      <c r="B270" s="7">
        <v>2018</v>
      </c>
      <c r="C270" s="3" t="s">
        <v>614</v>
      </c>
      <c r="D270" s="6">
        <v>23433.291506806574</v>
      </c>
    </row>
    <row r="271" spans="1:4" x14ac:dyDescent="0.2">
      <c r="A271" t="s">
        <v>589</v>
      </c>
      <c r="B271" s="7">
        <v>2019</v>
      </c>
      <c r="C271" s="3" t="s">
        <v>614</v>
      </c>
      <c r="D271" s="6">
        <v>42270.196478990365</v>
      </c>
    </row>
    <row r="272" spans="1:4" x14ac:dyDescent="0.2">
      <c r="A272" t="s">
        <v>589</v>
      </c>
      <c r="B272" s="7">
        <v>2020</v>
      </c>
      <c r="C272" s="3" t="s">
        <v>614</v>
      </c>
      <c r="D272" s="6">
        <v>26434.513652929305</v>
      </c>
    </row>
    <row r="273" spans="1:4" x14ac:dyDescent="0.2">
      <c r="A273" t="s">
        <v>589</v>
      </c>
      <c r="B273" s="7">
        <v>2021</v>
      </c>
      <c r="C273" s="3" t="s">
        <v>614</v>
      </c>
      <c r="D273" s="6">
        <v>55023.396009554686</v>
      </c>
    </row>
    <row r="274" spans="1:4" x14ac:dyDescent="0.2">
      <c r="A274" t="s">
        <v>589</v>
      </c>
      <c r="B274" s="7">
        <v>2022</v>
      </c>
      <c r="C274" s="3" t="s">
        <v>614</v>
      </c>
      <c r="D274" s="6">
        <v>44869.944476366873</v>
      </c>
    </row>
    <row r="275" spans="1:4" x14ac:dyDescent="0.2">
      <c r="A275" t="s">
        <v>589</v>
      </c>
      <c r="B275" s="7">
        <v>2023</v>
      </c>
      <c r="C275" s="3" t="s">
        <v>614</v>
      </c>
      <c r="D275" s="6">
        <v>24777.917591194473</v>
      </c>
    </row>
    <row r="276" spans="1:4" x14ac:dyDescent="0.2">
      <c r="A276" t="s">
        <v>589</v>
      </c>
      <c r="B276" s="7">
        <v>2024</v>
      </c>
      <c r="C276" s="3" t="s">
        <v>614</v>
      </c>
      <c r="D276" s="6">
        <v>41898.930871546989</v>
      </c>
    </row>
    <row r="277" spans="1:4" x14ac:dyDescent="0.2">
      <c r="A277" t="s">
        <v>589</v>
      </c>
      <c r="B277" s="7">
        <v>1970</v>
      </c>
      <c r="C277" s="3" t="s">
        <v>615</v>
      </c>
      <c r="D277" s="5">
        <f>(D222/D222) -1</f>
        <v>0</v>
      </c>
    </row>
    <row r="278" spans="1:4" x14ac:dyDescent="0.2">
      <c r="A278" t="s">
        <v>589</v>
      </c>
      <c r="B278" s="7">
        <v>1971</v>
      </c>
      <c r="C278" s="3" t="s">
        <v>615</v>
      </c>
      <c r="D278" s="5">
        <f>(D223/D222) -1</f>
        <v>0.18817073291219777</v>
      </c>
    </row>
    <row r="279" spans="1:4" x14ac:dyDescent="0.2">
      <c r="A279" t="s">
        <v>589</v>
      </c>
      <c r="B279" s="7">
        <v>1972</v>
      </c>
      <c r="C279" s="3" t="s">
        <v>615</v>
      </c>
      <c r="D279" s="5">
        <f t="shared" ref="D279:D331" si="2">(D224/D223) -1</f>
        <v>0.11089710074464776</v>
      </c>
    </row>
    <row r="280" spans="1:4" x14ac:dyDescent="0.2">
      <c r="A280" t="s">
        <v>589</v>
      </c>
      <c r="B280" s="7">
        <v>1973</v>
      </c>
      <c r="C280" s="3" t="s">
        <v>615</v>
      </c>
      <c r="D280" s="5">
        <f t="shared" si="2"/>
        <v>0.44774710681499741</v>
      </c>
    </row>
    <row r="281" spans="1:4" x14ac:dyDescent="0.2">
      <c r="A281" t="s">
        <v>589</v>
      </c>
      <c r="B281" s="7">
        <v>1974</v>
      </c>
      <c r="C281" s="3" t="s">
        <v>615</v>
      </c>
      <c r="D281" s="5">
        <f t="shared" si="2"/>
        <v>0.34287912835456047</v>
      </c>
    </row>
    <row r="282" spans="1:4" x14ac:dyDescent="0.2">
      <c r="A282" t="s">
        <v>589</v>
      </c>
      <c r="B282" s="7">
        <v>1975</v>
      </c>
      <c r="C282" s="3" t="s">
        <v>615</v>
      </c>
      <c r="D282" s="5">
        <f t="shared" si="2"/>
        <v>0.25003141616316871</v>
      </c>
    </row>
    <row r="283" spans="1:4" x14ac:dyDescent="0.2">
      <c r="A283" t="s">
        <v>589</v>
      </c>
      <c r="B283" s="7">
        <v>1976</v>
      </c>
      <c r="C283" s="3" t="s">
        <v>615</v>
      </c>
      <c r="D283" s="5">
        <f t="shared" si="2"/>
        <v>-0.12030316376910477</v>
      </c>
    </row>
    <row r="284" spans="1:4" x14ac:dyDescent="0.2">
      <c r="A284" t="s">
        <v>589</v>
      </c>
      <c r="B284" s="7">
        <v>1977</v>
      </c>
      <c r="C284" s="3" t="s">
        <v>615</v>
      </c>
      <c r="D284" s="5">
        <f t="shared" si="2"/>
        <v>0.43894573779800061</v>
      </c>
    </row>
    <row r="285" spans="1:4" x14ac:dyDescent="0.2">
      <c r="A285" t="s">
        <v>589</v>
      </c>
      <c r="B285" s="7">
        <v>1978</v>
      </c>
      <c r="C285" s="3" t="s">
        <v>615</v>
      </c>
      <c r="D285" s="5">
        <f t="shared" si="2"/>
        <v>0.36609642638317763</v>
      </c>
    </row>
    <row r="286" spans="1:4" x14ac:dyDescent="0.2">
      <c r="A286" t="s">
        <v>589</v>
      </c>
      <c r="B286" s="7">
        <v>1979</v>
      </c>
      <c r="C286" s="3" t="s">
        <v>615</v>
      </c>
      <c r="D286" s="5">
        <f t="shared" si="2"/>
        <v>0.34020895600161705</v>
      </c>
    </row>
    <row r="287" spans="1:4" x14ac:dyDescent="0.2">
      <c r="A287" t="s">
        <v>589</v>
      </c>
      <c r="B287" s="7">
        <v>1980</v>
      </c>
      <c r="C287" s="3" t="s">
        <v>615</v>
      </c>
      <c r="D287" s="5">
        <f t="shared" si="2"/>
        <v>0.41981599091670208</v>
      </c>
    </row>
    <row r="288" spans="1:4" x14ac:dyDescent="0.2">
      <c r="A288" t="s">
        <v>589</v>
      </c>
      <c r="B288" s="7">
        <v>1981</v>
      </c>
      <c r="C288" s="3" t="s">
        <v>615</v>
      </c>
      <c r="D288" s="5">
        <f t="shared" si="2"/>
        <v>0.47309533772752044</v>
      </c>
    </row>
    <row r="289" spans="1:4" x14ac:dyDescent="0.2">
      <c r="A289" t="s">
        <v>589</v>
      </c>
      <c r="B289" s="7">
        <v>1982</v>
      </c>
      <c r="C289" s="3" t="s">
        <v>615</v>
      </c>
      <c r="D289" s="5">
        <f t="shared" si="2"/>
        <v>2.6306030611546571E-2</v>
      </c>
    </row>
    <row r="290" spans="1:4" x14ac:dyDescent="0.2">
      <c r="A290" t="s">
        <v>589</v>
      </c>
      <c r="B290" s="7">
        <v>1983</v>
      </c>
      <c r="C290" s="3" t="s">
        <v>615</v>
      </c>
      <c r="D290" s="5">
        <f t="shared" si="2"/>
        <v>-0.11516040276134276</v>
      </c>
    </row>
    <row r="291" spans="1:4" x14ac:dyDescent="0.2">
      <c r="A291" t="s">
        <v>589</v>
      </c>
      <c r="B291" s="7">
        <v>1984</v>
      </c>
      <c r="C291" s="3" t="s">
        <v>615</v>
      </c>
      <c r="D291" s="5">
        <f t="shared" si="2"/>
        <v>0.21360584673231475</v>
      </c>
    </row>
    <row r="292" spans="1:4" x14ac:dyDescent="0.2">
      <c r="A292" t="s">
        <v>589</v>
      </c>
      <c r="B292" s="7">
        <v>1985</v>
      </c>
      <c r="C292" s="3" t="s">
        <v>615</v>
      </c>
      <c r="D292" s="5">
        <f t="shared" si="2"/>
        <v>-0.18845479849975111</v>
      </c>
    </row>
    <row r="293" spans="1:4" x14ac:dyDescent="0.2">
      <c r="A293" t="s">
        <v>589</v>
      </c>
      <c r="B293" s="7">
        <v>1986</v>
      </c>
      <c r="C293" s="3" t="s">
        <v>615</v>
      </c>
      <c r="D293" s="5">
        <f t="shared" si="2"/>
        <v>0.91918083139329831</v>
      </c>
    </row>
    <row r="294" spans="1:4" x14ac:dyDescent="0.2">
      <c r="A294" t="s">
        <v>589</v>
      </c>
      <c r="B294" s="7">
        <v>1987</v>
      </c>
      <c r="C294" s="3" t="s">
        <v>615</v>
      </c>
      <c r="D294" s="5">
        <f t="shared" si="2"/>
        <v>0.79566169293521272</v>
      </c>
    </row>
    <row r="295" spans="1:4" x14ac:dyDescent="0.2">
      <c r="A295" t="s">
        <v>589</v>
      </c>
      <c r="B295" s="7">
        <v>1988</v>
      </c>
      <c r="C295" s="3" t="s">
        <v>615</v>
      </c>
      <c r="D295" s="5">
        <f t="shared" si="2"/>
        <v>0.2743829644317699</v>
      </c>
    </row>
    <row r="296" spans="1:4" x14ac:dyDescent="0.2">
      <c r="A296" t="s">
        <v>589</v>
      </c>
      <c r="B296" s="7">
        <v>1989</v>
      </c>
      <c r="C296" s="3" t="s">
        <v>615</v>
      </c>
      <c r="D296" s="5">
        <f t="shared" si="2"/>
        <v>0.28510992763049781</v>
      </c>
    </row>
    <row r="297" spans="1:4" x14ac:dyDescent="0.2">
      <c r="A297" t="s">
        <v>589</v>
      </c>
      <c r="B297" s="7">
        <v>1990</v>
      </c>
      <c r="C297" s="3" t="s">
        <v>615</v>
      </c>
      <c r="D297" s="5">
        <f t="shared" si="2"/>
        <v>0.28160123541144699</v>
      </c>
    </row>
    <row r="298" spans="1:4" x14ac:dyDescent="0.2">
      <c r="A298" t="s">
        <v>589</v>
      </c>
      <c r="B298" s="7">
        <v>1991</v>
      </c>
      <c r="C298" s="3" t="s">
        <v>615</v>
      </c>
      <c r="D298" s="5">
        <f t="shared" si="2"/>
        <v>-0.21093460859556556</v>
      </c>
    </row>
    <row r="299" spans="1:4" x14ac:dyDescent="0.2">
      <c r="A299" t="s">
        <v>589</v>
      </c>
      <c r="B299" s="7">
        <v>1992</v>
      </c>
      <c r="C299" s="3" t="s">
        <v>615</v>
      </c>
      <c r="D299" s="5">
        <f t="shared" si="2"/>
        <v>0.1569634113938505</v>
      </c>
    </row>
    <row r="300" spans="1:4" x14ac:dyDescent="0.2">
      <c r="A300" t="s">
        <v>589</v>
      </c>
      <c r="B300" s="7">
        <v>1993</v>
      </c>
      <c r="C300" s="3" t="s">
        <v>615</v>
      </c>
      <c r="D300" s="5">
        <f t="shared" si="2"/>
        <v>0.34699962467202261</v>
      </c>
    </row>
    <row r="301" spans="1:4" x14ac:dyDescent="0.2">
      <c r="A301" t="s">
        <v>589</v>
      </c>
      <c r="B301" s="7">
        <v>1994</v>
      </c>
      <c r="C301" s="3" t="s">
        <v>615</v>
      </c>
      <c r="D301" s="5">
        <f t="shared" si="2"/>
        <v>0.28917268138481256</v>
      </c>
    </row>
    <row r="302" spans="1:4" x14ac:dyDescent="0.2">
      <c r="A302" t="s">
        <v>589</v>
      </c>
      <c r="B302" s="7">
        <v>1995</v>
      </c>
      <c r="C302" s="3" t="s">
        <v>615</v>
      </c>
      <c r="D302" s="5">
        <f t="shared" si="2"/>
        <v>0.42577450616784218</v>
      </c>
    </row>
    <row r="303" spans="1:4" x14ac:dyDescent="0.2">
      <c r="A303" t="s">
        <v>589</v>
      </c>
      <c r="B303" s="7">
        <v>1996</v>
      </c>
      <c r="C303" s="3" t="s">
        <v>615</v>
      </c>
      <c r="D303" s="5">
        <f t="shared" si="2"/>
        <v>0.25471353202492875</v>
      </c>
    </row>
    <row r="304" spans="1:4" x14ac:dyDescent="0.2">
      <c r="A304" t="s">
        <v>589</v>
      </c>
      <c r="B304" s="7">
        <v>1997</v>
      </c>
      <c r="C304" s="3" t="s">
        <v>615</v>
      </c>
      <c r="D304" s="5">
        <f t="shared" si="2"/>
        <v>0.3628178285608179</v>
      </c>
    </row>
    <row r="305" spans="1:4" x14ac:dyDescent="0.2">
      <c r="A305" t="s">
        <v>589</v>
      </c>
      <c r="B305" s="7">
        <v>1998</v>
      </c>
      <c r="C305" s="3" t="s">
        <v>615</v>
      </c>
      <c r="D305" s="5">
        <f t="shared" si="2"/>
        <v>0.55583505681597534</v>
      </c>
    </row>
    <row r="306" spans="1:4" x14ac:dyDescent="0.2">
      <c r="A306" t="s">
        <v>589</v>
      </c>
      <c r="B306" s="7">
        <v>1999</v>
      </c>
      <c r="C306" s="3" t="s">
        <v>615</v>
      </c>
      <c r="D306" s="5">
        <f t="shared" si="2"/>
        <v>0.58390782450953749</v>
      </c>
    </row>
    <row r="307" spans="1:4" x14ac:dyDescent="0.2">
      <c r="A307" t="s">
        <v>589</v>
      </c>
      <c r="B307" s="7">
        <v>2000</v>
      </c>
      <c r="C307" s="3" t="s">
        <v>615</v>
      </c>
      <c r="D307" s="5">
        <f t="shared" si="2"/>
        <v>0.36046511841865936</v>
      </c>
    </row>
    <row r="308" spans="1:4" x14ac:dyDescent="0.2">
      <c r="A308" t="s">
        <v>589</v>
      </c>
      <c r="B308" s="7">
        <v>2001</v>
      </c>
      <c r="C308" s="3" t="s">
        <v>615</v>
      </c>
      <c r="D308" s="5">
        <f t="shared" si="2"/>
        <v>-0.40108854162522833</v>
      </c>
    </row>
    <row r="309" spans="1:4" x14ac:dyDescent="0.2">
      <c r="A309" t="s">
        <v>589</v>
      </c>
      <c r="B309" s="7">
        <v>2002</v>
      </c>
      <c r="C309" s="3" t="s">
        <v>615</v>
      </c>
      <c r="D309" s="5">
        <f t="shared" si="2"/>
        <v>-0.1275322700690168</v>
      </c>
    </row>
    <row r="310" spans="1:4" x14ac:dyDescent="0.2">
      <c r="A310" t="s">
        <v>589</v>
      </c>
      <c r="B310" s="7">
        <v>2003</v>
      </c>
      <c r="C310" s="3" t="s">
        <v>615</v>
      </c>
      <c r="D310" s="5">
        <f t="shared" si="2"/>
        <v>1.506986464527138E-2</v>
      </c>
    </row>
    <row r="311" spans="1:4" x14ac:dyDescent="0.2">
      <c r="A311" t="s">
        <v>589</v>
      </c>
      <c r="B311" s="7">
        <v>2004</v>
      </c>
      <c r="C311" s="3" t="s">
        <v>615</v>
      </c>
      <c r="D311" s="5">
        <f t="shared" si="2"/>
        <v>0.42411994511044426</v>
      </c>
    </row>
    <row r="312" spans="1:4" x14ac:dyDescent="0.2">
      <c r="A312" t="s">
        <v>589</v>
      </c>
      <c r="B312" s="7">
        <v>2005</v>
      </c>
      <c r="C312" s="3" t="s">
        <v>615</v>
      </c>
      <c r="D312" s="5">
        <f t="shared" si="2"/>
        <v>0.6285736374774471</v>
      </c>
    </row>
    <row r="313" spans="1:4" x14ac:dyDescent="0.2">
      <c r="A313" t="s">
        <v>589</v>
      </c>
      <c r="B313" s="7">
        <v>2006</v>
      </c>
      <c r="C313" s="3" t="s">
        <v>615</v>
      </c>
      <c r="D313" s="5">
        <f t="shared" si="2"/>
        <v>0.48962481323779294</v>
      </c>
    </row>
    <row r="314" spans="1:4" x14ac:dyDescent="0.2">
      <c r="A314" t="s">
        <v>589</v>
      </c>
      <c r="B314" s="7">
        <v>2007</v>
      </c>
      <c r="C314" s="3" t="s">
        <v>615</v>
      </c>
      <c r="D314" s="5">
        <f t="shared" si="2"/>
        <v>0.50367526490714343</v>
      </c>
    </row>
    <row r="315" spans="1:4" x14ac:dyDescent="0.2">
      <c r="A315" t="s">
        <v>589</v>
      </c>
      <c r="B315" s="7">
        <v>2008</v>
      </c>
      <c r="C315" s="3" t="s">
        <v>615</v>
      </c>
      <c r="D315" s="5">
        <f t="shared" si="2"/>
        <v>-0.17124441364859566</v>
      </c>
    </row>
    <row r="316" spans="1:4" x14ac:dyDescent="0.2">
      <c r="A316" t="s">
        <v>589</v>
      </c>
      <c r="B316" s="7">
        <v>2009</v>
      </c>
      <c r="C316" s="3" t="s">
        <v>615</v>
      </c>
      <c r="D316" s="5">
        <f t="shared" si="2"/>
        <v>-0.32910967374155786</v>
      </c>
    </row>
    <row r="317" spans="1:4" x14ac:dyDescent="0.2">
      <c r="A317" t="s">
        <v>589</v>
      </c>
      <c r="B317" s="7">
        <v>2010</v>
      </c>
      <c r="C317" s="3" t="s">
        <v>615</v>
      </c>
      <c r="D317" s="5">
        <f t="shared" si="2"/>
        <v>0.24099746797744226</v>
      </c>
    </row>
    <row r="318" spans="1:4" x14ac:dyDescent="0.2">
      <c r="A318" t="s">
        <v>589</v>
      </c>
      <c r="B318" s="7">
        <v>2011</v>
      </c>
      <c r="C318" s="3" t="s">
        <v>615</v>
      </c>
      <c r="D318" s="5">
        <f t="shared" si="2"/>
        <v>0.35041262134801343</v>
      </c>
    </row>
    <row r="319" spans="1:4" x14ac:dyDescent="0.2">
      <c r="A319" t="s">
        <v>589</v>
      </c>
      <c r="B319" s="7">
        <v>2012</v>
      </c>
      <c r="C319" s="3" t="s">
        <v>615</v>
      </c>
      <c r="D319" s="5">
        <f t="shared" si="2"/>
        <v>-8.6177890327280404E-2</v>
      </c>
    </row>
    <row r="320" spans="1:4" x14ac:dyDescent="0.2">
      <c r="A320" t="s">
        <v>589</v>
      </c>
      <c r="B320" s="7">
        <v>2013</v>
      </c>
      <c r="C320" s="3" t="s">
        <v>615</v>
      </c>
      <c r="D320" s="5">
        <f t="shared" si="2"/>
        <v>8.4468089936115431E-2</v>
      </c>
    </row>
    <row r="321" spans="1:4" x14ac:dyDescent="0.2">
      <c r="A321" t="s">
        <v>589</v>
      </c>
      <c r="B321" s="7">
        <v>2014</v>
      </c>
      <c r="C321" s="3" t="s">
        <v>615</v>
      </c>
      <c r="D321" s="5">
        <f t="shared" si="2"/>
        <v>-7.205881801854308E-2</v>
      </c>
    </row>
    <row r="322" spans="1:4" x14ac:dyDescent="0.2">
      <c r="A322" t="s">
        <v>589</v>
      </c>
      <c r="B322" s="7">
        <v>2015</v>
      </c>
      <c r="C322" s="3" t="s">
        <v>615</v>
      </c>
      <c r="D322" s="5">
        <f t="shared" si="2"/>
        <v>0.44857473627591293</v>
      </c>
    </row>
    <row r="323" spans="1:4" x14ac:dyDescent="0.2">
      <c r="A323" t="s">
        <v>589</v>
      </c>
      <c r="B323" s="7">
        <v>2016</v>
      </c>
      <c r="C323" s="3" t="s">
        <v>615</v>
      </c>
      <c r="D323" s="5">
        <f t="shared" si="2"/>
        <v>6.9536224611990161E-3</v>
      </c>
    </row>
    <row r="324" spans="1:4" x14ac:dyDescent="0.2">
      <c r="A324" t="s">
        <v>589</v>
      </c>
      <c r="B324" s="7">
        <v>2017</v>
      </c>
      <c r="C324" s="3" t="s">
        <v>615</v>
      </c>
      <c r="D324" s="5">
        <f t="shared" si="2"/>
        <v>-0.16325498186536824</v>
      </c>
    </row>
    <row r="325" spans="1:4" x14ac:dyDescent="0.2">
      <c r="A325" t="s">
        <v>589</v>
      </c>
      <c r="B325" s="7">
        <v>2018</v>
      </c>
      <c r="C325" s="3" t="s">
        <v>615</v>
      </c>
      <c r="D325" s="5">
        <f t="shared" si="2"/>
        <v>-0.49515171561905114</v>
      </c>
    </row>
    <row r="326" spans="1:4" x14ac:dyDescent="0.2">
      <c r="A326" t="s">
        <v>589</v>
      </c>
      <c r="B326" s="7">
        <v>2019</v>
      </c>
      <c r="C326" s="3" t="s">
        <v>615</v>
      </c>
      <c r="D326" s="5">
        <f t="shared" si="2"/>
        <v>0.80385228710667089</v>
      </c>
    </row>
    <row r="327" spans="1:4" x14ac:dyDescent="0.2">
      <c r="A327" t="s">
        <v>589</v>
      </c>
      <c r="B327" s="7">
        <v>2020</v>
      </c>
      <c r="C327" s="3" t="s">
        <v>615</v>
      </c>
      <c r="D327" s="5">
        <f t="shared" si="2"/>
        <v>-0.37462997916113072</v>
      </c>
    </row>
    <row r="328" spans="1:4" x14ac:dyDescent="0.2">
      <c r="A328" t="s">
        <v>589</v>
      </c>
      <c r="B328" s="7">
        <v>2021</v>
      </c>
      <c r="C328" s="3" t="s">
        <v>615</v>
      </c>
      <c r="D328" s="5">
        <f t="shared" si="2"/>
        <v>1.0814983294938489</v>
      </c>
    </row>
    <row r="329" spans="1:4" x14ac:dyDescent="0.2">
      <c r="A329" t="s">
        <v>589</v>
      </c>
      <c r="B329" s="7">
        <v>2022</v>
      </c>
      <c r="C329" s="3" t="s">
        <v>615</v>
      </c>
      <c r="D329" s="5">
        <f t="shared" si="2"/>
        <v>-0.18452971407698449</v>
      </c>
    </row>
    <row r="330" spans="1:4" x14ac:dyDescent="0.2">
      <c r="A330" t="s">
        <v>589</v>
      </c>
      <c r="B330" s="7">
        <v>2023</v>
      </c>
      <c r="C330" s="3" t="s">
        <v>615</v>
      </c>
      <c r="D330" s="5">
        <f t="shared" si="2"/>
        <v>-0.44778363600951032</v>
      </c>
    </row>
    <row r="331" spans="1:4" x14ac:dyDescent="0.2">
      <c r="A331" t="s">
        <v>589</v>
      </c>
      <c r="B331" s="7">
        <v>2024</v>
      </c>
      <c r="C331" s="3" t="s">
        <v>615</v>
      </c>
      <c r="D331" s="5">
        <f t="shared" si="2"/>
        <v>0.69097869977729465</v>
      </c>
    </row>
    <row r="332" spans="1:4" x14ac:dyDescent="0.2">
      <c r="A332" t="s">
        <v>589</v>
      </c>
      <c r="B332" s="7">
        <v>1970</v>
      </c>
      <c r="C332" s="3" t="s">
        <v>616</v>
      </c>
      <c r="D332" s="6">
        <v>12.357585832741663</v>
      </c>
    </row>
    <row r="333" spans="1:4" x14ac:dyDescent="0.2">
      <c r="A333" t="s">
        <v>589</v>
      </c>
      <c r="B333" s="7">
        <v>1971</v>
      </c>
      <c r="C333" s="3" t="s">
        <v>616</v>
      </c>
      <c r="D333" s="6">
        <v>13.520253824327858</v>
      </c>
    </row>
    <row r="334" spans="1:4" x14ac:dyDescent="0.2">
      <c r="A334" t="s">
        <v>589</v>
      </c>
      <c r="B334" s="7">
        <v>1972</v>
      </c>
      <c r="C334" s="3" t="s">
        <v>616</v>
      </c>
      <c r="D334" s="6">
        <v>14.450574308138327</v>
      </c>
    </row>
    <row r="335" spans="1:4" x14ac:dyDescent="0.2">
      <c r="A335" t="s">
        <v>589</v>
      </c>
      <c r="B335" s="7">
        <v>1973</v>
      </c>
      <c r="C335" s="3" t="s">
        <v>616</v>
      </c>
      <c r="D335" s="6">
        <v>16.741559412133007</v>
      </c>
    </row>
    <row r="336" spans="1:4" x14ac:dyDescent="0.2">
      <c r="A336" t="s">
        <v>589</v>
      </c>
      <c r="B336" s="7">
        <v>1974</v>
      </c>
      <c r="C336" s="3" t="s">
        <v>616</v>
      </c>
      <c r="D336" s="6">
        <v>19.735535319554057</v>
      </c>
    </row>
    <row r="337" spans="1:4" x14ac:dyDescent="0.2">
      <c r="A337" t="s">
        <v>589</v>
      </c>
      <c r="B337" s="7">
        <v>1975</v>
      </c>
      <c r="C337" s="3" t="s">
        <v>616</v>
      </c>
      <c r="D337" s="6">
        <v>25.192077140663351</v>
      </c>
    </row>
    <row r="338" spans="1:4" x14ac:dyDescent="0.2">
      <c r="A338" t="s">
        <v>589</v>
      </c>
      <c r="B338" s="7">
        <v>1976</v>
      </c>
      <c r="C338" s="3" t="s">
        <v>616</v>
      </c>
      <c r="D338" s="6">
        <v>29.229781186374876</v>
      </c>
    </row>
    <row r="339" spans="1:4" x14ac:dyDescent="0.2">
      <c r="A339" t="s">
        <v>589</v>
      </c>
      <c r="B339" s="7">
        <v>1977</v>
      </c>
      <c r="C339" s="3" t="s">
        <v>616</v>
      </c>
      <c r="D339" s="6">
        <v>36.003160711375514</v>
      </c>
    </row>
    <row r="340" spans="1:4" x14ac:dyDescent="0.2">
      <c r="A340" t="s">
        <v>589</v>
      </c>
      <c r="B340" s="7">
        <v>1978</v>
      </c>
      <c r="C340" s="3" t="s">
        <v>616</v>
      </c>
      <c r="D340" s="6">
        <v>44.989885909828757</v>
      </c>
    </row>
    <row r="341" spans="1:4" x14ac:dyDescent="0.2">
      <c r="A341" t="s">
        <v>589</v>
      </c>
      <c r="B341" s="7">
        <v>1979</v>
      </c>
      <c r="C341" s="3" t="s">
        <v>616</v>
      </c>
      <c r="D341" s="6">
        <v>57.0213645410523</v>
      </c>
    </row>
    <row r="342" spans="1:4" x14ac:dyDescent="0.2">
      <c r="A342" t="s">
        <v>589</v>
      </c>
      <c r="B342" s="7">
        <v>1980</v>
      </c>
      <c r="C342" s="3" t="s">
        <v>616</v>
      </c>
      <c r="D342" s="6">
        <v>75.180672931399897</v>
      </c>
    </row>
    <row r="343" spans="1:4" x14ac:dyDescent="0.2">
      <c r="A343" t="s">
        <v>589</v>
      </c>
      <c r="B343" s="7">
        <v>1981</v>
      </c>
      <c r="C343" s="3" t="s">
        <v>616</v>
      </c>
      <c r="D343" s="6">
        <v>106.63556378063005</v>
      </c>
    </row>
    <row r="344" spans="1:4" x14ac:dyDescent="0.2">
      <c r="A344" t="s">
        <v>589</v>
      </c>
      <c r="B344" s="7">
        <v>1982</v>
      </c>
      <c r="C344" s="3" t="s">
        <v>616</v>
      </c>
      <c r="D344" s="6">
        <v>136.04003962454289</v>
      </c>
    </row>
    <row r="345" spans="1:4" x14ac:dyDescent="0.2">
      <c r="A345" t="s">
        <v>589</v>
      </c>
      <c r="B345" s="7">
        <v>1983</v>
      </c>
      <c r="C345" s="3" t="s">
        <v>616</v>
      </c>
      <c r="D345" s="6">
        <v>157.22857228586921</v>
      </c>
    </row>
    <row r="346" spans="1:4" x14ac:dyDescent="0.2">
      <c r="A346" t="s">
        <v>589</v>
      </c>
      <c r="B346" s="7">
        <v>1984</v>
      </c>
      <c r="C346" s="3" t="s">
        <v>616</v>
      </c>
      <c r="D346" s="6">
        <v>181.20741785746867</v>
      </c>
    </row>
    <row r="347" spans="1:4" x14ac:dyDescent="0.2">
      <c r="A347" t="s">
        <v>589</v>
      </c>
      <c r="B347" s="7">
        <v>1985</v>
      </c>
      <c r="C347" s="3" t="s">
        <v>616</v>
      </c>
      <c r="D347" s="6">
        <v>189.49110951311724</v>
      </c>
    </row>
    <row r="348" spans="1:4" x14ac:dyDescent="0.2">
      <c r="A348" t="s">
        <v>589</v>
      </c>
      <c r="B348" s="7">
        <v>1986</v>
      </c>
      <c r="C348" s="3" t="s">
        <v>616</v>
      </c>
      <c r="D348" s="6">
        <v>217.02620790706848</v>
      </c>
    </row>
    <row r="349" spans="1:4" x14ac:dyDescent="0.2">
      <c r="A349" t="s">
        <v>589</v>
      </c>
      <c r="B349" s="7">
        <v>1987</v>
      </c>
      <c r="C349" s="3" t="s">
        <v>616</v>
      </c>
      <c r="D349" s="6">
        <v>296.03563596497804</v>
      </c>
    </row>
    <row r="350" spans="1:4" x14ac:dyDescent="0.2">
      <c r="A350" t="s">
        <v>589</v>
      </c>
      <c r="B350" s="7">
        <v>1988</v>
      </c>
      <c r="C350" s="3" t="s">
        <v>616</v>
      </c>
      <c r="D350" s="6">
        <v>412.08753385401354</v>
      </c>
    </row>
    <row r="351" spans="1:4" x14ac:dyDescent="0.2">
      <c r="A351" t="s">
        <v>589</v>
      </c>
      <c r="B351" s="7">
        <v>1989</v>
      </c>
      <c r="C351" s="3" t="s">
        <v>616</v>
      </c>
      <c r="D351" s="6">
        <v>563.72234086494404</v>
      </c>
    </row>
    <row r="352" spans="1:4" x14ac:dyDescent="0.2">
      <c r="A352" t="s">
        <v>589</v>
      </c>
      <c r="B352" s="7">
        <v>1990</v>
      </c>
      <c r="C352" s="3" t="s">
        <v>616</v>
      </c>
      <c r="D352" s="6">
        <v>777.96579768058348</v>
      </c>
    </row>
    <row r="353" spans="1:4" x14ac:dyDescent="0.2">
      <c r="A353" t="s">
        <v>589</v>
      </c>
      <c r="B353" s="7">
        <v>1991</v>
      </c>
      <c r="C353" s="3" t="s">
        <v>616</v>
      </c>
      <c r="D353" s="6">
        <v>908.17463028595432</v>
      </c>
    </row>
    <row r="354" spans="1:4" x14ac:dyDescent="0.2">
      <c r="A354" t="s">
        <v>589</v>
      </c>
      <c r="B354" s="7">
        <v>1992</v>
      </c>
      <c r="C354" s="3" t="s">
        <v>616</v>
      </c>
      <c r="D354" s="6">
        <v>1016.6902146711766</v>
      </c>
    </row>
    <row r="355" spans="1:4" x14ac:dyDescent="0.2">
      <c r="A355" t="s">
        <v>589</v>
      </c>
      <c r="B355" s="7">
        <v>1993</v>
      </c>
      <c r="C355" s="3" t="s">
        <v>616</v>
      </c>
      <c r="D355" s="6">
        <v>1171.4620751292971</v>
      </c>
    </row>
    <row r="356" spans="1:4" x14ac:dyDescent="0.2">
      <c r="A356" t="s">
        <v>589</v>
      </c>
      <c r="B356" s="7">
        <v>1994</v>
      </c>
      <c r="C356" s="3" t="s">
        <v>616</v>
      </c>
      <c r="D356" s="6">
        <v>1371.6030023966796</v>
      </c>
    </row>
    <row r="357" spans="1:4" x14ac:dyDescent="0.2">
      <c r="A357" t="s">
        <v>589</v>
      </c>
      <c r="B357" s="7">
        <v>1995</v>
      </c>
      <c r="C357" s="3" t="s">
        <v>616</v>
      </c>
      <c r="D357" s="6">
        <v>1684.9266348186463</v>
      </c>
    </row>
    <row r="358" spans="1:4" x14ac:dyDescent="0.2">
      <c r="A358" t="s">
        <v>589</v>
      </c>
      <c r="B358" s="7">
        <v>1996</v>
      </c>
      <c r="C358" s="3" t="s">
        <v>616</v>
      </c>
      <c r="D358" s="6">
        <v>2193.824923358181</v>
      </c>
    </row>
    <row r="359" spans="1:4" x14ac:dyDescent="0.2">
      <c r="A359" t="s">
        <v>589</v>
      </c>
      <c r="B359" s="7">
        <v>1997</v>
      </c>
      <c r="C359" s="3" t="s">
        <v>616</v>
      </c>
      <c r="D359" s="6">
        <v>2927.7436851798234</v>
      </c>
    </row>
    <row r="360" spans="1:4" x14ac:dyDescent="0.2">
      <c r="A360" t="s">
        <v>589</v>
      </c>
      <c r="B360" s="7">
        <v>1998</v>
      </c>
      <c r="C360" s="3" t="s">
        <v>616</v>
      </c>
      <c r="D360" s="6">
        <v>4116.9985806864615</v>
      </c>
    </row>
    <row r="361" spans="1:4" x14ac:dyDescent="0.2">
      <c r="A361" t="s">
        <v>589</v>
      </c>
      <c r="B361" s="7">
        <v>1999</v>
      </c>
      <c r="C361" s="3" t="s">
        <v>616</v>
      </c>
      <c r="D361" s="6">
        <v>6090.775708613256</v>
      </c>
    </row>
    <row r="362" spans="1:4" x14ac:dyDescent="0.2">
      <c r="A362" t="s">
        <v>589</v>
      </c>
      <c r="B362" s="7">
        <v>2000</v>
      </c>
      <c r="C362" s="3" t="s">
        <v>616</v>
      </c>
      <c r="D362" s="6">
        <v>8750.2903617006668</v>
      </c>
    </row>
    <row r="363" spans="1:4" x14ac:dyDescent="0.2">
      <c r="A363" t="s">
        <v>589</v>
      </c>
      <c r="B363" s="7">
        <v>2001</v>
      </c>
      <c r="C363" s="3" t="s">
        <v>616</v>
      </c>
      <c r="D363" s="6">
        <v>9974.5839582509016</v>
      </c>
    </row>
    <row r="364" spans="1:4" x14ac:dyDescent="0.2">
      <c r="A364" t="s">
        <v>589</v>
      </c>
      <c r="B364" s="7">
        <v>2002</v>
      </c>
      <c r="C364" s="3" t="s">
        <v>616</v>
      </c>
      <c r="D364" s="6">
        <v>10697.008783260952</v>
      </c>
    </row>
    <row r="365" spans="1:4" x14ac:dyDescent="0.2">
      <c r="A365" t="s">
        <v>589</v>
      </c>
      <c r="B365" s="7">
        <v>2003</v>
      </c>
      <c r="C365" s="3" t="s">
        <v>616</v>
      </c>
      <c r="D365" s="6">
        <v>10910.707900531972</v>
      </c>
    </row>
    <row r="366" spans="1:4" x14ac:dyDescent="0.2">
      <c r="A366" t="s">
        <v>589</v>
      </c>
      <c r="B366" s="7">
        <v>2004</v>
      </c>
      <c r="C366" s="3" t="s">
        <v>616</v>
      </c>
      <c r="D366" s="6">
        <v>10976.161900725054</v>
      </c>
    </row>
    <row r="367" spans="1:4" x14ac:dyDescent="0.2">
      <c r="A367" t="s">
        <v>589</v>
      </c>
      <c r="B367" s="7">
        <v>2005</v>
      </c>
      <c r="C367" s="3" t="s">
        <v>616</v>
      </c>
      <c r="D367" s="6">
        <v>11717.614189865313</v>
      </c>
    </row>
    <row r="368" spans="1:4" x14ac:dyDescent="0.2">
      <c r="A368" t="s">
        <v>589</v>
      </c>
      <c r="B368" s="7">
        <v>2006</v>
      </c>
      <c r="C368" s="3" t="s">
        <v>616</v>
      </c>
      <c r="D368" s="6">
        <v>15691.490949831665</v>
      </c>
    </row>
    <row r="369" spans="1:4" x14ac:dyDescent="0.2">
      <c r="A369" t="s">
        <v>589</v>
      </c>
      <c r="B369" s="7">
        <v>2007</v>
      </c>
      <c r="C369" s="3" t="s">
        <v>616</v>
      </c>
      <c r="D369" s="6">
        <v>22884.740862364823</v>
      </c>
    </row>
    <row r="370" spans="1:4" x14ac:dyDescent="0.2">
      <c r="A370" t="s">
        <v>589</v>
      </c>
      <c r="B370" s="7">
        <v>2008</v>
      </c>
      <c r="C370" s="3" t="s">
        <v>616</v>
      </c>
      <c r="D370" s="6">
        <v>28532.562466240863</v>
      </c>
    </row>
    <row r="371" spans="1:4" x14ac:dyDescent="0.2">
      <c r="A371" t="s">
        <v>589</v>
      </c>
      <c r="B371" s="7">
        <v>2009</v>
      </c>
      <c r="C371" s="3" t="s">
        <v>616</v>
      </c>
      <c r="D371" s="6">
        <v>31034.606023765959</v>
      </c>
    </row>
    <row r="372" spans="1:4" x14ac:dyDescent="0.2">
      <c r="A372" t="s">
        <v>589</v>
      </c>
      <c r="B372" s="7">
        <v>2010</v>
      </c>
      <c r="C372" s="3" t="s">
        <v>616</v>
      </c>
      <c r="D372" s="6">
        <v>33196.523599322914</v>
      </c>
    </row>
    <row r="373" spans="1:4" x14ac:dyDescent="0.2">
      <c r="A373" t="s">
        <v>589</v>
      </c>
      <c r="B373" s="7">
        <v>2011</v>
      </c>
      <c r="C373" s="3" t="s">
        <v>616</v>
      </c>
      <c r="D373" s="6">
        <v>35564.319675769606</v>
      </c>
    </row>
    <row r="374" spans="1:4" x14ac:dyDescent="0.2">
      <c r="A374" t="s">
        <v>589</v>
      </c>
      <c r="B374" s="7">
        <v>2012</v>
      </c>
      <c r="C374" s="3" t="s">
        <v>616</v>
      </c>
      <c r="D374" s="6">
        <v>34246.018306139602</v>
      </c>
    </row>
    <row r="375" spans="1:4" x14ac:dyDescent="0.2">
      <c r="A375" t="s">
        <v>589</v>
      </c>
      <c r="B375" s="7">
        <v>2013</v>
      </c>
      <c r="C375" s="3" t="s">
        <v>616</v>
      </c>
      <c r="D375" s="6">
        <v>35086.209563295648</v>
      </c>
    </row>
    <row r="376" spans="1:4" x14ac:dyDescent="0.2">
      <c r="A376" t="s">
        <v>589</v>
      </c>
      <c r="B376" s="7">
        <v>2014</v>
      </c>
      <c r="C376" s="3" t="s">
        <v>616</v>
      </c>
      <c r="D376" s="6">
        <v>37756.851618254557</v>
      </c>
    </row>
    <row r="377" spans="1:4" x14ac:dyDescent="0.2">
      <c r="A377" t="s">
        <v>589</v>
      </c>
      <c r="B377" s="7">
        <v>2015</v>
      </c>
      <c r="C377" s="3" t="s">
        <v>616</v>
      </c>
      <c r="D377" s="6">
        <v>42649.953708021116</v>
      </c>
    </row>
    <row r="378" spans="1:4" x14ac:dyDescent="0.2">
      <c r="A378" t="s">
        <v>589</v>
      </c>
      <c r="B378" s="7">
        <v>2016</v>
      </c>
      <c r="C378" s="3" t="s">
        <v>616</v>
      </c>
      <c r="D378" s="6">
        <v>45473.455121141211</v>
      </c>
    </row>
    <row r="379" spans="1:4" x14ac:dyDescent="0.2">
      <c r="A379" t="s">
        <v>589</v>
      </c>
      <c r="B379" s="7">
        <v>2017</v>
      </c>
      <c r="C379" s="3" t="s">
        <v>616</v>
      </c>
      <c r="D379" s="6">
        <v>47198.498322191954</v>
      </c>
    </row>
    <row r="380" spans="1:4" x14ac:dyDescent="0.2">
      <c r="A380" t="s">
        <v>589</v>
      </c>
      <c r="B380" s="7">
        <v>2018</v>
      </c>
      <c r="C380" s="3" t="s">
        <v>616</v>
      </c>
      <c r="D380" s="6">
        <v>43688.46783059177</v>
      </c>
    </row>
    <row r="381" spans="1:4" x14ac:dyDescent="0.2">
      <c r="A381" t="s">
        <v>589</v>
      </c>
      <c r="B381" s="7">
        <v>2019</v>
      </c>
      <c r="C381" s="3" t="s">
        <v>616</v>
      </c>
      <c r="D381" s="6">
        <v>44536.462039514983</v>
      </c>
    </row>
    <row r="382" spans="1:4" x14ac:dyDescent="0.2">
      <c r="A382" t="s">
        <v>589</v>
      </c>
      <c r="B382" s="7">
        <v>2020</v>
      </c>
      <c r="C382" s="3" t="s">
        <v>616</v>
      </c>
      <c r="D382" s="6">
        <v>38805.440014278392</v>
      </c>
    </row>
    <row r="383" spans="1:4" x14ac:dyDescent="0.2">
      <c r="A383" t="s">
        <v>589</v>
      </c>
      <c r="B383" s="7">
        <v>2021</v>
      </c>
      <c r="C383" s="3" t="s">
        <v>616</v>
      </c>
      <c r="D383" s="6">
        <v>38715.57997130898</v>
      </c>
    </row>
    <row r="384" spans="1:4" x14ac:dyDescent="0.2">
      <c r="A384" t="s">
        <v>589</v>
      </c>
      <c r="B384" s="7">
        <v>2022</v>
      </c>
      <c r="C384" s="3" t="s">
        <v>616</v>
      </c>
      <c r="D384" s="6">
        <v>38406.268424929556</v>
      </c>
    </row>
    <row r="385" spans="1:4" x14ac:dyDescent="0.2">
      <c r="A385" t="s">
        <v>589</v>
      </c>
      <c r="B385" s="7">
        <v>2023</v>
      </c>
      <c r="C385" s="3" t="s">
        <v>616</v>
      </c>
      <c r="D385" s="6">
        <v>38675.193641807149</v>
      </c>
    </row>
    <row r="386" spans="1:4" x14ac:dyDescent="0.2">
      <c r="A386" t="s">
        <v>589</v>
      </c>
      <c r="B386" s="7">
        <v>2024</v>
      </c>
      <c r="C386" s="3" t="s">
        <v>616</v>
      </c>
      <c r="D386" s="6">
        <v>38600.940520318465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vt:lpstr>
      <vt:lpstr>Sheet1</vt:lpstr>
      <vt:lpstr>Data</vt:lpstr>
      <vt:lpstr>Data second</vt:lpstr>
      <vt:lpstr>Data third</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Ostap Petriv</dc:creator>
  <cp:lastModifiedBy>Ostap Petriv</cp:lastModifiedBy>
  <dcterms:created xsi:type="dcterms:W3CDTF">2025-11-07T20:26:55Z</dcterms:created>
  <dcterms:modified xsi:type="dcterms:W3CDTF">2025-11-11T11:04:34Z</dcterms:modified>
</cp:coreProperties>
</file>